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zothankima\OneDrive\Desktop\"/>
    </mc:Choice>
  </mc:AlternateContent>
  <xr:revisionPtr revIDLastSave="0" documentId="13_ncr:1_{D7966E0B-F968-492B-AFEF-5775CBE8107E}" xr6:coauthVersionLast="47" xr6:coauthVersionMax="47" xr10:uidLastSave="{00000000-0000-0000-0000-000000000000}"/>
  <bookViews>
    <workbookView xWindow="-108" yWindow="-108" windowWidth="23256" windowHeight="12456" firstSheet="2" activeTab="8" xr2:uid="{F45939C3-D98E-4A33-B3A1-4041060B909A}"/>
  </bookViews>
  <sheets>
    <sheet name="Posts" sheetId="4" r:id="rId1"/>
    <sheet name="Engagement Summary" sheetId="3" r:id="rId2"/>
    <sheet name="Campaign Metadata" sheetId="2" r:id="rId3"/>
    <sheet name="Task1" sheetId="5" r:id="rId4"/>
    <sheet name="Task2" sheetId="6" r:id="rId5"/>
    <sheet name="Task3" sheetId="1" r:id="rId6"/>
    <sheet name="Task4" sheetId="8" r:id="rId7"/>
    <sheet name="Task 5" sheetId="9" r:id="rId8"/>
    <sheet name="Task 6" sheetId="11" r:id="rId9"/>
  </sheets>
  <definedNames>
    <definedName name="ExternalData_1" localSheetId="2" hidden="1">'Campaign Metadata'!$A$1:$G$5</definedName>
    <definedName name="ExternalData_2" localSheetId="1" hidden="1">'Engagement Summary'!$A$1:$G$201</definedName>
    <definedName name="ExternalData_3" localSheetId="0" hidden="1">Posts!$A$1:$M$340</definedName>
    <definedName name="ExternalData_4" localSheetId="3" hidden="1">Task1!$A$1:$M$340</definedName>
  </definedNames>
  <calcPr calcId="191029"/>
  <pivotCaches>
    <pivotCache cacheId="0" r:id="rId10"/>
    <pivotCache cacheId="1" r:id="rId11"/>
    <pivotCache cacheId="2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" i="5" l="1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N159" i="5"/>
  <c r="N160" i="5"/>
  <c r="N161" i="5"/>
  <c r="N162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N175" i="5"/>
  <c r="N176" i="5"/>
  <c r="N177" i="5"/>
  <c r="N178" i="5"/>
  <c r="N179" i="5"/>
  <c r="N180" i="5"/>
  <c r="N181" i="5"/>
  <c r="N182" i="5"/>
  <c r="N183" i="5"/>
  <c r="N184" i="5"/>
  <c r="N185" i="5"/>
  <c r="N186" i="5"/>
  <c r="N187" i="5"/>
  <c r="N188" i="5"/>
  <c r="N189" i="5"/>
  <c r="N190" i="5"/>
  <c r="N191" i="5"/>
  <c r="N192" i="5"/>
  <c r="N193" i="5"/>
  <c r="N194" i="5"/>
  <c r="N195" i="5"/>
  <c r="N196" i="5"/>
  <c r="N197" i="5"/>
  <c r="N198" i="5"/>
  <c r="N199" i="5"/>
  <c r="N200" i="5"/>
  <c r="N201" i="5"/>
  <c r="N202" i="5"/>
  <c r="N203" i="5"/>
  <c r="N204" i="5"/>
  <c r="N205" i="5"/>
  <c r="N206" i="5"/>
  <c r="N207" i="5"/>
  <c r="N208" i="5"/>
  <c r="N209" i="5"/>
  <c r="N210" i="5"/>
  <c r="N211" i="5"/>
  <c r="N212" i="5"/>
  <c r="N213" i="5"/>
  <c r="N214" i="5"/>
  <c r="N215" i="5"/>
  <c r="N216" i="5"/>
  <c r="N217" i="5"/>
  <c r="N218" i="5"/>
  <c r="N219" i="5"/>
  <c r="N220" i="5"/>
  <c r="N221" i="5"/>
  <c r="N222" i="5"/>
  <c r="N223" i="5"/>
  <c r="N224" i="5"/>
  <c r="N225" i="5"/>
  <c r="N226" i="5"/>
  <c r="N227" i="5"/>
  <c r="N228" i="5"/>
  <c r="N229" i="5"/>
  <c r="N230" i="5"/>
  <c r="N231" i="5"/>
  <c r="N232" i="5"/>
  <c r="N233" i="5"/>
  <c r="N234" i="5"/>
  <c r="N235" i="5"/>
  <c r="N236" i="5"/>
  <c r="N237" i="5"/>
  <c r="N238" i="5"/>
  <c r="N239" i="5"/>
  <c r="N240" i="5"/>
  <c r="N241" i="5"/>
  <c r="N242" i="5"/>
  <c r="N243" i="5"/>
  <c r="N244" i="5"/>
  <c r="N245" i="5"/>
  <c r="N246" i="5"/>
  <c r="N247" i="5"/>
  <c r="N248" i="5"/>
  <c r="N249" i="5"/>
  <c r="N250" i="5"/>
  <c r="N251" i="5"/>
  <c r="N252" i="5"/>
  <c r="N253" i="5"/>
  <c r="N254" i="5"/>
  <c r="N255" i="5"/>
  <c r="N256" i="5"/>
  <c r="N257" i="5"/>
  <c r="N258" i="5"/>
  <c r="N259" i="5"/>
  <c r="N260" i="5"/>
  <c r="N261" i="5"/>
  <c r="N262" i="5"/>
  <c r="N263" i="5"/>
  <c r="N264" i="5"/>
  <c r="N265" i="5"/>
  <c r="N266" i="5"/>
  <c r="N267" i="5"/>
  <c r="N268" i="5"/>
  <c r="N269" i="5"/>
  <c r="N270" i="5"/>
  <c r="N271" i="5"/>
  <c r="N272" i="5"/>
  <c r="N273" i="5"/>
  <c r="N274" i="5"/>
  <c r="N275" i="5"/>
  <c r="N276" i="5"/>
  <c r="N277" i="5"/>
  <c r="N278" i="5"/>
  <c r="N279" i="5"/>
  <c r="N280" i="5"/>
  <c r="N281" i="5"/>
  <c r="N282" i="5"/>
  <c r="N283" i="5"/>
  <c r="N284" i="5"/>
  <c r="N285" i="5"/>
  <c r="N286" i="5"/>
  <c r="N287" i="5"/>
  <c r="N288" i="5"/>
  <c r="N289" i="5"/>
  <c r="N290" i="5"/>
  <c r="N291" i="5"/>
  <c r="N292" i="5"/>
  <c r="N293" i="5"/>
  <c r="N294" i="5"/>
  <c r="N295" i="5"/>
  <c r="N296" i="5"/>
  <c r="N297" i="5"/>
  <c r="N298" i="5"/>
  <c r="N299" i="5"/>
  <c r="N300" i="5"/>
  <c r="N301" i="5"/>
  <c r="N302" i="5"/>
  <c r="N303" i="5"/>
  <c r="N304" i="5"/>
  <c r="N305" i="5"/>
  <c r="N306" i="5"/>
  <c r="N307" i="5"/>
  <c r="N308" i="5"/>
  <c r="N309" i="5"/>
  <c r="N310" i="5"/>
  <c r="N311" i="5"/>
  <c r="N312" i="5"/>
  <c r="N313" i="5"/>
  <c r="N314" i="5"/>
  <c r="N315" i="5"/>
  <c r="N316" i="5"/>
  <c r="N317" i="5"/>
  <c r="N318" i="5"/>
  <c r="N319" i="5"/>
  <c r="N320" i="5"/>
  <c r="N321" i="5"/>
  <c r="N322" i="5"/>
  <c r="N323" i="5"/>
  <c r="N324" i="5"/>
  <c r="N325" i="5"/>
  <c r="N326" i="5"/>
  <c r="N327" i="5"/>
  <c r="N328" i="5"/>
  <c r="N329" i="5"/>
  <c r="N330" i="5"/>
  <c r="N331" i="5"/>
  <c r="N332" i="5"/>
  <c r="N333" i="5"/>
  <c r="N334" i="5"/>
  <c r="N335" i="5"/>
  <c r="N336" i="5"/>
  <c r="N337" i="5"/>
  <c r="N338" i="5"/>
  <c r="N339" i="5"/>
  <c r="N340" i="5"/>
  <c r="O2" i="5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O182" i="5"/>
  <c r="O183" i="5"/>
  <c r="O184" i="5"/>
  <c r="O185" i="5"/>
  <c r="O186" i="5"/>
  <c r="O187" i="5"/>
  <c r="O188" i="5"/>
  <c r="O189" i="5"/>
  <c r="O190" i="5"/>
  <c r="O191" i="5"/>
  <c r="O192" i="5"/>
  <c r="O193" i="5"/>
  <c r="O194" i="5"/>
  <c r="O195" i="5"/>
  <c r="O196" i="5"/>
  <c r="O197" i="5"/>
  <c r="O198" i="5"/>
  <c r="O199" i="5"/>
  <c r="O200" i="5"/>
  <c r="O201" i="5"/>
  <c r="O202" i="5"/>
  <c r="O203" i="5"/>
  <c r="O204" i="5"/>
  <c r="O205" i="5"/>
  <c r="O206" i="5"/>
  <c r="O207" i="5"/>
  <c r="O208" i="5"/>
  <c r="O209" i="5"/>
  <c r="O210" i="5"/>
  <c r="O211" i="5"/>
  <c r="O212" i="5"/>
  <c r="O213" i="5"/>
  <c r="O214" i="5"/>
  <c r="O215" i="5"/>
  <c r="O216" i="5"/>
  <c r="O217" i="5"/>
  <c r="O218" i="5"/>
  <c r="O219" i="5"/>
  <c r="O220" i="5"/>
  <c r="O221" i="5"/>
  <c r="O222" i="5"/>
  <c r="O223" i="5"/>
  <c r="O224" i="5"/>
  <c r="O225" i="5"/>
  <c r="O226" i="5"/>
  <c r="O227" i="5"/>
  <c r="O228" i="5"/>
  <c r="O229" i="5"/>
  <c r="O230" i="5"/>
  <c r="O231" i="5"/>
  <c r="O232" i="5"/>
  <c r="O233" i="5"/>
  <c r="O234" i="5"/>
  <c r="O235" i="5"/>
  <c r="O236" i="5"/>
  <c r="O237" i="5"/>
  <c r="O238" i="5"/>
  <c r="O239" i="5"/>
  <c r="O240" i="5"/>
  <c r="O241" i="5"/>
  <c r="O242" i="5"/>
  <c r="O243" i="5"/>
  <c r="O244" i="5"/>
  <c r="O245" i="5"/>
  <c r="O246" i="5"/>
  <c r="O247" i="5"/>
  <c r="O248" i="5"/>
  <c r="O249" i="5"/>
  <c r="O250" i="5"/>
  <c r="O251" i="5"/>
  <c r="O252" i="5"/>
  <c r="O253" i="5"/>
  <c r="O254" i="5"/>
  <c r="O255" i="5"/>
  <c r="O256" i="5"/>
  <c r="O257" i="5"/>
  <c r="O258" i="5"/>
  <c r="O259" i="5"/>
  <c r="O260" i="5"/>
  <c r="O261" i="5"/>
  <c r="O262" i="5"/>
  <c r="O263" i="5"/>
  <c r="O264" i="5"/>
  <c r="O265" i="5"/>
  <c r="O266" i="5"/>
  <c r="O267" i="5"/>
  <c r="O268" i="5"/>
  <c r="O269" i="5"/>
  <c r="O270" i="5"/>
  <c r="O271" i="5"/>
  <c r="O272" i="5"/>
  <c r="O273" i="5"/>
  <c r="O274" i="5"/>
  <c r="O275" i="5"/>
  <c r="O276" i="5"/>
  <c r="O277" i="5"/>
  <c r="O278" i="5"/>
  <c r="O279" i="5"/>
  <c r="O280" i="5"/>
  <c r="O281" i="5"/>
  <c r="O282" i="5"/>
  <c r="O283" i="5"/>
  <c r="O284" i="5"/>
  <c r="O285" i="5"/>
  <c r="O286" i="5"/>
  <c r="O287" i="5"/>
  <c r="O288" i="5"/>
  <c r="O289" i="5"/>
  <c r="O290" i="5"/>
  <c r="O291" i="5"/>
  <c r="O292" i="5"/>
  <c r="O293" i="5"/>
  <c r="O294" i="5"/>
  <c r="O295" i="5"/>
  <c r="O296" i="5"/>
  <c r="O297" i="5"/>
  <c r="O298" i="5"/>
  <c r="O299" i="5"/>
  <c r="O300" i="5"/>
  <c r="O301" i="5"/>
  <c r="O302" i="5"/>
  <c r="O303" i="5"/>
  <c r="O304" i="5"/>
  <c r="O305" i="5"/>
  <c r="O306" i="5"/>
  <c r="O307" i="5"/>
  <c r="O308" i="5"/>
  <c r="O309" i="5"/>
  <c r="O310" i="5"/>
  <c r="O311" i="5"/>
  <c r="O312" i="5"/>
  <c r="O313" i="5"/>
  <c r="O314" i="5"/>
  <c r="O315" i="5"/>
  <c r="O316" i="5"/>
  <c r="O317" i="5"/>
  <c r="O318" i="5"/>
  <c r="O319" i="5"/>
  <c r="O320" i="5"/>
  <c r="O321" i="5"/>
  <c r="O322" i="5"/>
  <c r="O323" i="5"/>
  <c r="O324" i="5"/>
  <c r="O325" i="5"/>
  <c r="O326" i="5"/>
  <c r="O327" i="5"/>
  <c r="O328" i="5"/>
  <c r="O329" i="5"/>
  <c r="O330" i="5"/>
  <c r="O331" i="5"/>
  <c r="O332" i="5"/>
  <c r="O333" i="5"/>
  <c r="O334" i="5"/>
  <c r="O335" i="5"/>
  <c r="O336" i="5"/>
  <c r="O337" i="5"/>
  <c r="O338" i="5"/>
  <c r="O339" i="5"/>
  <c r="O340" i="5"/>
  <c r="P2" i="5"/>
  <c r="R2" i="5" s="1"/>
  <c r="P3" i="5"/>
  <c r="P4" i="5"/>
  <c r="R4" i="5" s="1"/>
  <c r="P5" i="5"/>
  <c r="R5" i="5" s="1"/>
  <c r="P6" i="5"/>
  <c r="R6" i="5" s="1"/>
  <c r="P7" i="5"/>
  <c r="R7" i="5" s="1"/>
  <c r="P8" i="5"/>
  <c r="R8" i="5" s="1"/>
  <c r="P9" i="5"/>
  <c r="R9" i="5" s="1"/>
  <c r="P10" i="5"/>
  <c r="R10" i="5" s="1"/>
  <c r="P11" i="5"/>
  <c r="R11" i="5" s="1"/>
  <c r="P12" i="5"/>
  <c r="P13" i="5"/>
  <c r="P14" i="5"/>
  <c r="R14" i="5" s="1"/>
  <c r="P15" i="5"/>
  <c r="R15" i="5" s="1"/>
  <c r="P16" i="5"/>
  <c r="R16" i="5" s="1"/>
  <c r="P17" i="5"/>
  <c r="R17" i="5" s="1"/>
  <c r="P18" i="5"/>
  <c r="R18" i="5" s="1"/>
  <c r="P19" i="5"/>
  <c r="R19" i="5" s="1"/>
  <c r="P20" i="5"/>
  <c r="R20" i="5" s="1"/>
  <c r="P21" i="5"/>
  <c r="R21" i="5" s="1"/>
  <c r="P22" i="5"/>
  <c r="R22" i="5" s="1"/>
  <c r="P23" i="5"/>
  <c r="R23" i="5" s="1"/>
  <c r="P24" i="5"/>
  <c r="P25" i="5"/>
  <c r="P26" i="5"/>
  <c r="R26" i="5" s="1"/>
  <c r="P27" i="5"/>
  <c r="R27" i="5" s="1"/>
  <c r="P28" i="5"/>
  <c r="R28" i="5" s="1"/>
  <c r="P29" i="5"/>
  <c r="R29" i="5" s="1"/>
  <c r="P30" i="5"/>
  <c r="R30" i="5" s="1"/>
  <c r="P31" i="5"/>
  <c r="R31" i="5" s="1"/>
  <c r="P32" i="5"/>
  <c r="R32" i="5" s="1"/>
  <c r="P33" i="5"/>
  <c r="R33" i="5" s="1"/>
  <c r="P34" i="5"/>
  <c r="R34" i="5" s="1"/>
  <c r="P35" i="5"/>
  <c r="R35" i="5" s="1"/>
  <c r="P36" i="5"/>
  <c r="R36" i="5" s="1"/>
  <c r="P37" i="5"/>
  <c r="P38" i="5"/>
  <c r="P39" i="5"/>
  <c r="R39" i="5" s="1"/>
  <c r="P40" i="5"/>
  <c r="R40" i="5" s="1"/>
  <c r="P41" i="5"/>
  <c r="R41" i="5" s="1"/>
  <c r="P42" i="5"/>
  <c r="R42" i="5" s="1"/>
  <c r="P43" i="5"/>
  <c r="R43" i="5" s="1"/>
  <c r="P44" i="5"/>
  <c r="R44" i="5" s="1"/>
  <c r="P45" i="5"/>
  <c r="R45" i="5" s="1"/>
  <c r="P46" i="5"/>
  <c r="R46" i="5" s="1"/>
  <c r="P47" i="5"/>
  <c r="R47" i="5" s="1"/>
  <c r="P48" i="5"/>
  <c r="R48" i="5" s="1"/>
  <c r="P49" i="5"/>
  <c r="P50" i="5"/>
  <c r="R50" i="5" s="1"/>
  <c r="P51" i="5"/>
  <c r="R51" i="5" s="1"/>
  <c r="P52" i="5"/>
  <c r="R52" i="5" s="1"/>
  <c r="P53" i="5"/>
  <c r="R53" i="5" s="1"/>
  <c r="P54" i="5"/>
  <c r="R54" i="5" s="1"/>
  <c r="P55" i="5"/>
  <c r="R55" i="5" s="1"/>
  <c r="P56" i="5"/>
  <c r="R56" i="5" s="1"/>
  <c r="P57" i="5"/>
  <c r="R57" i="5" s="1"/>
  <c r="P58" i="5"/>
  <c r="R58" i="5" s="1"/>
  <c r="P59" i="5"/>
  <c r="R59" i="5" s="1"/>
  <c r="P60" i="5"/>
  <c r="P61" i="5"/>
  <c r="P62" i="5"/>
  <c r="R62" i="5" s="1"/>
  <c r="P63" i="5"/>
  <c r="R63" i="5" s="1"/>
  <c r="P64" i="5"/>
  <c r="R64" i="5" s="1"/>
  <c r="P65" i="5"/>
  <c r="R65" i="5" s="1"/>
  <c r="P66" i="5"/>
  <c r="R66" i="5" s="1"/>
  <c r="P67" i="5"/>
  <c r="R67" i="5" s="1"/>
  <c r="P68" i="5"/>
  <c r="R68" i="5" s="1"/>
  <c r="P69" i="5"/>
  <c r="R69" i="5" s="1"/>
  <c r="P70" i="5"/>
  <c r="R70" i="5" s="1"/>
  <c r="P71" i="5"/>
  <c r="R71" i="5" s="1"/>
  <c r="P72" i="5"/>
  <c r="R72" i="5" s="1"/>
  <c r="P73" i="5"/>
  <c r="P74" i="5"/>
  <c r="R74" i="5" s="1"/>
  <c r="P75" i="5"/>
  <c r="R75" i="5" s="1"/>
  <c r="P76" i="5"/>
  <c r="R76" i="5" s="1"/>
  <c r="P77" i="5"/>
  <c r="R77" i="5" s="1"/>
  <c r="P78" i="5"/>
  <c r="R78" i="5" s="1"/>
  <c r="P79" i="5"/>
  <c r="R79" i="5" s="1"/>
  <c r="P80" i="5"/>
  <c r="R80" i="5" s="1"/>
  <c r="P81" i="5"/>
  <c r="R81" i="5" s="1"/>
  <c r="P82" i="5"/>
  <c r="R82" i="5" s="1"/>
  <c r="P83" i="5"/>
  <c r="R83" i="5" s="1"/>
  <c r="P84" i="5"/>
  <c r="P85" i="5"/>
  <c r="P86" i="5"/>
  <c r="R86" i="5" s="1"/>
  <c r="P87" i="5"/>
  <c r="R87" i="5" s="1"/>
  <c r="P88" i="5"/>
  <c r="R88" i="5" s="1"/>
  <c r="P89" i="5"/>
  <c r="R89" i="5" s="1"/>
  <c r="P90" i="5"/>
  <c r="R90" i="5" s="1"/>
  <c r="P91" i="5"/>
  <c r="R91" i="5" s="1"/>
  <c r="P92" i="5"/>
  <c r="R92" i="5" s="1"/>
  <c r="P93" i="5"/>
  <c r="R93" i="5" s="1"/>
  <c r="P94" i="5"/>
  <c r="R94" i="5" s="1"/>
  <c r="P95" i="5"/>
  <c r="R95" i="5" s="1"/>
  <c r="P96" i="5"/>
  <c r="P97" i="5"/>
  <c r="P98" i="5"/>
  <c r="R98" i="5" s="1"/>
  <c r="P99" i="5"/>
  <c r="R99" i="5" s="1"/>
  <c r="P100" i="5"/>
  <c r="R100" i="5" s="1"/>
  <c r="P101" i="5"/>
  <c r="R101" i="5" s="1"/>
  <c r="P102" i="5"/>
  <c r="R102" i="5" s="1"/>
  <c r="P103" i="5"/>
  <c r="R103" i="5" s="1"/>
  <c r="P104" i="5"/>
  <c r="R104" i="5" s="1"/>
  <c r="P105" i="5"/>
  <c r="R105" i="5" s="1"/>
  <c r="P106" i="5"/>
  <c r="R106" i="5" s="1"/>
  <c r="P107" i="5"/>
  <c r="R107" i="5" s="1"/>
  <c r="P108" i="5"/>
  <c r="R108" i="5" s="1"/>
  <c r="P109" i="5"/>
  <c r="P110" i="5"/>
  <c r="R110" i="5" s="1"/>
  <c r="P111" i="5"/>
  <c r="R111" i="5" s="1"/>
  <c r="P112" i="5"/>
  <c r="R112" i="5" s="1"/>
  <c r="P113" i="5"/>
  <c r="R113" i="5" s="1"/>
  <c r="P114" i="5"/>
  <c r="R114" i="5" s="1"/>
  <c r="P115" i="5"/>
  <c r="R115" i="5" s="1"/>
  <c r="P116" i="5"/>
  <c r="R116" i="5" s="1"/>
  <c r="P117" i="5"/>
  <c r="R117" i="5" s="1"/>
  <c r="P118" i="5"/>
  <c r="R118" i="5" s="1"/>
  <c r="P119" i="5"/>
  <c r="R119" i="5" s="1"/>
  <c r="P120" i="5"/>
  <c r="R120" i="5" s="1"/>
  <c r="P121" i="5"/>
  <c r="P122" i="5"/>
  <c r="R122" i="5" s="1"/>
  <c r="P123" i="5"/>
  <c r="R123" i="5" s="1"/>
  <c r="P124" i="5"/>
  <c r="R124" i="5" s="1"/>
  <c r="P125" i="5"/>
  <c r="R125" i="5" s="1"/>
  <c r="P126" i="5"/>
  <c r="R126" i="5" s="1"/>
  <c r="P127" i="5"/>
  <c r="R127" i="5" s="1"/>
  <c r="P128" i="5"/>
  <c r="R128" i="5" s="1"/>
  <c r="P129" i="5"/>
  <c r="R129" i="5" s="1"/>
  <c r="P130" i="5"/>
  <c r="R130" i="5" s="1"/>
  <c r="P131" i="5"/>
  <c r="R131" i="5" s="1"/>
  <c r="P132" i="5"/>
  <c r="P133" i="5"/>
  <c r="P134" i="5"/>
  <c r="R134" i="5" s="1"/>
  <c r="P135" i="5"/>
  <c r="R135" i="5" s="1"/>
  <c r="P136" i="5"/>
  <c r="R136" i="5" s="1"/>
  <c r="P137" i="5"/>
  <c r="R137" i="5" s="1"/>
  <c r="P138" i="5"/>
  <c r="R138" i="5" s="1"/>
  <c r="P139" i="5"/>
  <c r="R139" i="5" s="1"/>
  <c r="P140" i="5"/>
  <c r="R140" i="5" s="1"/>
  <c r="P141" i="5"/>
  <c r="R141" i="5" s="1"/>
  <c r="P142" i="5"/>
  <c r="R142" i="5" s="1"/>
  <c r="P143" i="5"/>
  <c r="R143" i="5" s="1"/>
  <c r="P144" i="5"/>
  <c r="P145" i="5"/>
  <c r="P146" i="5"/>
  <c r="R146" i="5" s="1"/>
  <c r="P147" i="5"/>
  <c r="R147" i="5" s="1"/>
  <c r="P148" i="5"/>
  <c r="R148" i="5" s="1"/>
  <c r="P149" i="5"/>
  <c r="R149" i="5" s="1"/>
  <c r="P150" i="5"/>
  <c r="R150" i="5" s="1"/>
  <c r="P151" i="5"/>
  <c r="R151" i="5" s="1"/>
  <c r="P152" i="5"/>
  <c r="R152" i="5" s="1"/>
  <c r="P153" i="5"/>
  <c r="R153" i="5" s="1"/>
  <c r="P154" i="5"/>
  <c r="R154" i="5" s="1"/>
  <c r="P155" i="5"/>
  <c r="R155" i="5" s="1"/>
  <c r="P156" i="5"/>
  <c r="P157" i="5"/>
  <c r="P158" i="5"/>
  <c r="R158" i="5" s="1"/>
  <c r="P159" i="5"/>
  <c r="R159" i="5" s="1"/>
  <c r="P160" i="5"/>
  <c r="R160" i="5" s="1"/>
  <c r="P161" i="5"/>
  <c r="R161" i="5" s="1"/>
  <c r="P162" i="5"/>
  <c r="R162" i="5" s="1"/>
  <c r="P163" i="5"/>
  <c r="R163" i="5" s="1"/>
  <c r="P164" i="5"/>
  <c r="R164" i="5" s="1"/>
  <c r="P165" i="5"/>
  <c r="R165" i="5" s="1"/>
  <c r="P166" i="5"/>
  <c r="R166" i="5" s="1"/>
  <c r="P167" i="5"/>
  <c r="R167" i="5" s="1"/>
  <c r="P168" i="5"/>
  <c r="P169" i="5"/>
  <c r="P170" i="5"/>
  <c r="P171" i="5"/>
  <c r="R171" i="5" s="1"/>
  <c r="P172" i="5"/>
  <c r="R172" i="5" s="1"/>
  <c r="P173" i="5"/>
  <c r="R173" i="5" s="1"/>
  <c r="P174" i="5"/>
  <c r="R174" i="5" s="1"/>
  <c r="P175" i="5"/>
  <c r="R175" i="5" s="1"/>
  <c r="P176" i="5"/>
  <c r="R176" i="5" s="1"/>
  <c r="P177" i="5"/>
  <c r="R177" i="5" s="1"/>
  <c r="P178" i="5"/>
  <c r="R178" i="5" s="1"/>
  <c r="P179" i="5"/>
  <c r="R179" i="5" s="1"/>
  <c r="P180" i="5"/>
  <c r="R180" i="5" s="1"/>
  <c r="P181" i="5"/>
  <c r="R181" i="5" s="1"/>
  <c r="P182" i="5"/>
  <c r="R182" i="5" s="1"/>
  <c r="P183" i="5"/>
  <c r="R183" i="5" s="1"/>
  <c r="P184" i="5"/>
  <c r="R184" i="5" s="1"/>
  <c r="P185" i="5"/>
  <c r="R185" i="5" s="1"/>
  <c r="P186" i="5"/>
  <c r="R186" i="5" s="1"/>
  <c r="P187" i="5"/>
  <c r="R187" i="5" s="1"/>
  <c r="P188" i="5"/>
  <c r="R188" i="5" s="1"/>
  <c r="P189" i="5"/>
  <c r="R189" i="5" s="1"/>
  <c r="P190" i="5"/>
  <c r="R190" i="5" s="1"/>
  <c r="P191" i="5"/>
  <c r="R191" i="5" s="1"/>
  <c r="P192" i="5"/>
  <c r="R192" i="5" s="1"/>
  <c r="P193" i="5"/>
  <c r="R193" i="5" s="1"/>
  <c r="P194" i="5"/>
  <c r="R194" i="5" s="1"/>
  <c r="P195" i="5"/>
  <c r="R195" i="5" s="1"/>
  <c r="P196" i="5"/>
  <c r="R196" i="5" s="1"/>
  <c r="P197" i="5"/>
  <c r="R197" i="5" s="1"/>
  <c r="P198" i="5"/>
  <c r="R198" i="5" s="1"/>
  <c r="P199" i="5"/>
  <c r="R199" i="5" s="1"/>
  <c r="P200" i="5"/>
  <c r="R200" i="5" s="1"/>
  <c r="P201" i="5"/>
  <c r="R201" i="5" s="1"/>
  <c r="P202" i="5"/>
  <c r="R202" i="5" s="1"/>
  <c r="P203" i="5"/>
  <c r="R203" i="5" s="1"/>
  <c r="P204" i="5"/>
  <c r="P205" i="5"/>
  <c r="P206" i="5"/>
  <c r="R206" i="5" s="1"/>
  <c r="P207" i="5"/>
  <c r="R207" i="5" s="1"/>
  <c r="P208" i="5"/>
  <c r="R208" i="5" s="1"/>
  <c r="P209" i="5"/>
  <c r="R209" i="5" s="1"/>
  <c r="P210" i="5"/>
  <c r="R210" i="5" s="1"/>
  <c r="P211" i="5"/>
  <c r="R211" i="5" s="1"/>
  <c r="P212" i="5"/>
  <c r="R212" i="5" s="1"/>
  <c r="P213" i="5"/>
  <c r="R213" i="5" s="1"/>
  <c r="P214" i="5"/>
  <c r="R214" i="5" s="1"/>
  <c r="P215" i="5"/>
  <c r="R215" i="5" s="1"/>
  <c r="P216" i="5"/>
  <c r="P217" i="5"/>
  <c r="P218" i="5"/>
  <c r="R218" i="5" s="1"/>
  <c r="P219" i="5"/>
  <c r="R219" i="5" s="1"/>
  <c r="P220" i="5"/>
  <c r="R220" i="5" s="1"/>
  <c r="P221" i="5"/>
  <c r="R221" i="5" s="1"/>
  <c r="P222" i="5"/>
  <c r="R222" i="5" s="1"/>
  <c r="P223" i="5"/>
  <c r="R223" i="5" s="1"/>
  <c r="P224" i="5"/>
  <c r="R224" i="5" s="1"/>
  <c r="P225" i="5"/>
  <c r="R225" i="5" s="1"/>
  <c r="P226" i="5"/>
  <c r="R226" i="5" s="1"/>
  <c r="P227" i="5"/>
  <c r="R227" i="5" s="1"/>
  <c r="P228" i="5"/>
  <c r="R228" i="5" s="1"/>
  <c r="P229" i="5"/>
  <c r="P230" i="5"/>
  <c r="R230" i="5" s="1"/>
  <c r="P231" i="5"/>
  <c r="R231" i="5" s="1"/>
  <c r="P232" i="5"/>
  <c r="R232" i="5" s="1"/>
  <c r="P233" i="5"/>
  <c r="R233" i="5" s="1"/>
  <c r="P234" i="5"/>
  <c r="R234" i="5" s="1"/>
  <c r="P235" i="5"/>
  <c r="R235" i="5" s="1"/>
  <c r="P236" i="5"/>
  <c r="R236" i="5" s="1"/>
  <c r="P237" i="5"/>
  <c r="R237" i="5" s="1"/>
  <c r="P238" i="5"/>
  <c r="R238" i="5" s="1"/>
  <c r="P239" i="5"/>
  <c r="R239" i="5" s="1"/>
  <c r="P240" i="5"/>
  <c r="P241" i="5"/>
  <c r="P242" i="5"/>
  <c r="R242" i="5" s="1"/>
  <c r="P243" i="5"/>
  <c r="R243" i="5" s="1"/>
  <c r="P244" i="5"/>
  <c r="R244" i="5" s="1"/>
  <c r="P245" i="5"/>
  <c r="R245" i="5" s="1"/>
  <c r="P246" i="5"/>
  <c r="R246" i="5" s="1"/>
  <c r="P247" i="5"/>
  <c r="R247" i="5" s="1"/>
  <c r="P248" i="5"/>
  <c r="R248" i="5" s="1"/>
  <c r="P249" i="5"/>
  <c r="R249" i="5" s="1"/>
  <c r="P250" i="5"/>
  <c r="R250" i="5" s="1"/>
  <c r="P251" i="5"/>
  <c r="R251" i="5" s="1"/>
  <c r="P252" i="5"/>
  <c r="P253" i="5"/>
  <c r="R253" i="5" s="1"/>
  <c r="P254" i="5"/>
  <c r="R254" i="5" s="1"/>
  <c r="P255" i="5"/>
  <c r="R255" i="5" s="1"/>
  <c r="P256" i="5"/>
  <c r="R256" i="5" s="1"/>
  <c r="P257" i="5"/>
  <c r="R257" i="5" s="1"/>
  <c r="P258" i="5"/>
  <c r="R258" i="5" s="1"/>
  <c r="P259" i="5"/>
  <c r="R259" i="5" s="1"/>
  <c r="P260" i="5"/>
  <c r="R260" i="5" s="1"/>
  <c r="P261" i="5"/>
  <c r="R261" i="5" s="1"/>
  <c r="P262" i="5"/>
  <c r="R262" i="5" s="1"/>
  <c r="P263" i="5"/>
  <c r="R263" i="5" s="1"/>
  <c r="P264" i="5"/>
  <c r="P265" i="5"/>
  <c r="P266" i="5"/>
  <c r="R266" i="5" s="1"/>
  <c r="P267" i="5"/>
  <c r="R267" i="5" s="1"/>
  <c r="P268" i="5"/>
  <c r="R268" i="5" s="1"/>
  <c r="P269" i="5"/>
  <c r="R269" i="5" s="1"/>
  <c r="P270" i="5"/>
  <c r="R270" i="5" s="1"/>
  <c r="P271" i="5"/>
  <c r="R271" i="5" s="1"/>
  <c r="P272" i="5"/>
  <c r="R272" i="5" s="1"/>
  <c r="P273" i="5"/>
  <c r="R273" i="5" s="1"/>
  <c r="P274" i="5"/>
  <c r="R274" i="5" s="1"/>
  <c r="P275" i="5"/>
  <c r="R275" i="5" s="1"/>
  <c r="P276" i="5"/>
  <c r="R276" i="5" s="1"/>
  <c r="P277" i="5"/>
  <c r="R277" i="5" s="1"/>
  <c r="P278" i="5"/>
  <c r="R278" i="5" s="1"/>
  <c r="P279" i="5"/>
  <c r="R279" i="5" s="1"/>
  <c r="P280" i="5"/>
  <c r="R280" i="5" s="1"/>
  <c r="P281" i="5"/>
  <c r="R281" i="5" s="1"/>
  <c r="P282" i="5"/>
  <c r="R282" i="5" s="1"/>
  <c r="P283" i="5"/>
  <c r="R283" i="5" s="1"/>
  <c r="P284" i="5"/>
  <c r="R284" i="5" s="1"/>
  <c r="P285" i="5"/>
  <c r="R285" i="5" s="1"/>
  <c r="P286" i="5"/>
  <c r="R286" i="5" s="1"/>
  <c r="P287" i="5"/>
  <c r="R287" i="5" s="1"/>
  <c r="P288" i="5"/>
  <c r="P289" i="5"/>
  <c r="P290" i="5"/>
  <c r="R290" i="5" s="1"/>
  <c r="P291" i="5"/>
  <c r="R291" i="5" s="1"/>
  <c r="P292" i="5"/>
  <c r="R292" i="5" s="1"/>
  <c r="P293" i="5"/>
  <c r="R293" i="5" s="1"/>
  <c r="P294" i="5"/>
  <c r="R294" i="5" s="1"/>
  <c r="P295" i="5"/>
  <c r="R295" i="5" s="1"/>
  <c r="P296" i="5"/>
  <c r="R296" i="5" s="1"/>
  <c r="P297" i="5"/>
  <c r="R297" i="5" s="1"/>
  <c r="P298" i="5"/>
  <c r="R298" i="5" s="1"/>
  <c r="P299" i="5"/>
  <c r="R299" i="5" s="1"/>
  <c r="P300" i="5"/>
  <c r="P301" i="5"/>
  <c r="P302" i="5"/>
  <c r="R302" i="5" s="1"/>
  <c r="P303" i="5"/>
  <c r="R303" i="5" s="1"/>
  <c r="P304" i="5"/>
  <c r="R304" i="5" s="1"/>
  <c r="P305" i="5"/>
  <c r="R305" i="5" s="1"/>
  <c r="P306" i="5"/>
  <c r="R306" i="5" s="1"/>
  <c r="P307" i="5"/>
  <c r="R307" i="5" s="1"/>
  <c r="P308" i="5"/>
  <c r="R308" i="5" s="1"/>
  <c r="P309" i="5"/>
  <c r="R309" i="5" s="1"/>
  <c r="P310" i="5"/>
  <c r="R310" i="5" s="1"/>
  <c r="P311" i="5"/>
  <c r="R311" i="5" s="1"/>
  <c r="P312" i="5"/>
  <c r="P313" i="5"/>
  <c r="P314" i="5"/>
  <c r="R314" i="5" s="1"/>
  <c r="P315" i="5"/>
  <c r="R315" i="5" s="1"/>
  <c r="P316" i="5"/>
  <c r="R316" i="5" s="1"/>
  <c r="P317" i="5"/>
  <c r="R317" i="5" s="1"/>
  <c r="P318" i="5"/>
  <c r="R318" i="5" s="1"/>
  <c r="P319" i="5"/>
  <c r="R319" i="5" s="1"/>
  <c r="P320" i="5"/>
  <c r="R320" i="5" s="1"/>
  <c r="P321" i="5"/>
  <c r="R321" i="5" s="1"/>
  <c r="P322" i="5"/>
  <c r="R322" i="5" s="1"/>
  <c r="P323" i="5"/>
  <c r="R323" i="5" s="1"/>
  <c r="P324" i="5"/>
  <c r="R324" i="5" s="1"/>
  <c r="P325" i="5"/>
  <c r="P326" i="5"/>
  <c r="R326" i="5" s="1"/>
  <c r="P327" i="5"/>
  <c r="R327" i="5" s="1"/>
  <c r="P328" i="5"/>
  <c r="R328" i="5" s="1"/>
  <c r="P329" i="5"/>
  <c r="R329" i="5" s="1"/>
  <c r="P330" i="5"/>
  <c r="R330" i="5" s="1"/>
  <c r="P331" i="5"/>
  <c r="R331" i="5" s="1"/>
  <c r="P332" i="5"/>
  <c r="R332" i="5" s="1"/>
  <c r="P333" i="5"/>
  <c r="R333" i="5" s="1"/>
  <c r="P334" i="5"/>
  <c r="R334" i="5" s="1"/>
  <c r="P335" i="5"/>
  <c r="R335" i="5" s="1"/>
  <c r="P336" i="5"/>
  <c r="P337" i="5"/>
  <c r="P338" i="5"/>
  <c r="R338" i="5" s="1"/>
  <c r="P339" i="5"/>
  <c r="R339" i="5" s="1"/>
  <c r="P340" i="5"/>
  <c r="R340" i="5" s="1"/>
  <c r="Q2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Q175" i="5"/>
  <c r="Q176" i="5"/>
  <c r="Q177" i="5"/>
  <c r="Q178" i="5"/>
  <c r="Q179" i="5"/>
  <c r="Q180" i="5"/>
  <c r="Q181" i="5"/>
  <c r="Q182" i="5"/>
  <c r="Q183" i="5"/>
  <c r="Q184" i="5"/>
  <c r="Q185" i="5"/>
  <c r="Q186" i="5"/>
  <c r="Q187" i="5"/>
  <c r="Q188" i="5"/>
  <c r="Q189" i="5"/>
  <c r="Q190" i="5"/>
  <c r="Q191" i="5"/>
  <c r="Q192" i="5"/>
  <c r="Q193" i="5"/>
  <c r="Q194" i="5"/>
  <c r="Q195" i="5"/>
  <c r="Q196" i="5"/>
  <c r="Q197" i="5"/>
  <c r="Q198" i="5"/>
  <c r="Q199" i="5"/>
  <c r="Q200" i="5"/>
  <c r="Q201" i="5"/>
  <c r="Q202" i="5"/>
  <c r="Q203" i="5"/>
  <c r="Q204" i="5"/>
  <c r="Q205" i="5"/>
  <c r="Q206" i="5"/>
  <c r="Q207" i="5"/>
  <c r="Q208" i="5"/>
  <c r="Q209" i="5"/>
  <c r="Q210" i="5"/>
  <c r="Q211" i="5"/>
  <c r="Q212" i="5"/>
  <c r="Q213" i="5"/>
  <c r="Q214" i="5"/>
  <c r="Q215" i="5"/>
  <c r="Q216" i="5"/>
  <c r="Q217" i="5"/>
  <c r="Q218" i="5"/>
  <c r="Q219" i="5"/>
  <c r="Q220" i="5"/>
  <c r="Q221" i="5"/>
  <c r="Q222" i="5"/>
  <c r="Q223" i="5"/>
  <c r="Q224" i="5"/>
  <c r="Q225" i="5"/>
  <c r="Q226" i="5"/>
  <c r="Q227" i="5"/>
  <c r="Q228" i="5"/>
  <c r="Q229" i="5"/>
  <c r="Q230" i="5"/>
  <c r="Q231" i="5"/>
  <c r="Q232" i="5"/>
  <c r="Q233" i="5"/>
  <c r="Q234" i="5"/>
  <c r="Q235" i="5"/>
  <c r="Q236" i="5"/>
  <c r="Q237" i="5"/>
  <c r="Q238" i="5"/>
  <c r="Q239" i="5"/>
  <c r="Q240" i="5"/>
  <c r="Q241" i="5"/>
  <c r="Q242" i="5"/>
  <c r="Q243" i="5"/>
  <c r="Q244" i="5"/>
  <c r="Q245" i="5"/>
  <c r="Q246" i="5"/>
  <c r="Q247" i="5"/>
  <c r="Q248" i="5"/>
  <c r="Q249" i="5"/>
  <c r="Q250" i="5"/>
  <c r="Q251" i="5"/>
  <c r="Q252" i="5"/>
  <c r="Q253" i="5"/>
  <c r="Q254" i="5"/>
  <c r="Q255" i="5"/>
  <c r="Q256" i="5"/>
  <c r="Q257" i="5"/>
  <c r="Q258" i="5"/>
  <c r="Q259" i="5"/>
  <c r="Q260" i="5"/>
  <c r="Q261" i="5"/>
  <c r="Q262" i="5"/>
  <c r="Q263" i="5"/>
  <c r="Q264" i="5"/>
  <c r="Q265" i="5"/>
  <c r="Q266" i="5"/>
  <c r="Q267" i="5"/>
  <c r="Q268" i="5"/>
  <c r="Q269" i="5"/>
  <c r="Q270" i="5"/>
  <c r="Q271" i="5"/>
  <c r="Q272" i="5"/>
  <c r="Q273" i="5"/>
  <c r="Q274" i="5"/>
  <c r="Q275" i="5"/>
  <c r="Q276" i="5"/>
  <c r="Q277" i="5"/>
  <c r="Q278" i="5"/>
  <c r="Q279" i="5"/>
  <c r="Q280" i="5"/>
  <c r="Q281" i="5"/>
  <c r="Q282" i="5"/>
  <c r="Q283" i="5"/>
  <c r="Q284" i="5"/>
  <c r="Q285" i="5"/>
  <c r="Q286" i="5"/>
  <c r="Q287" i="5"/>
  <c r="Q288" i="5"/>
  <c r="Q289" i="5"/>
  <c r="Q290" i="5"/>
  <c r="Q291" i="5"/>
  <c r="Q292" i="5"/>
  <c r="Q293" i="5"/>
  <c r="Q294" i="5"/>
  <c r="Q295" i="5"/>
  <c r="Q296" i="5"/>
  <c r="Q297" i="5"/>
  <c r="Q298" i="5"/>
  <c r="Q299" i="5"/>
  <c r="Q300" i="5"/>
  <c r="Q301" i="5"/>
  <c r="Q302" i="5"/>
  <c r="Q303" i="5"/>
  <c r="Q304" i="5"/>
  <c r="Q305" i="5"/>
  <c r="Q306" i="5"/>
  <c r="Q307" i="5"/>
  <c r="Q308" i="5"/>
  <c r="Q309" i="5"/>
  <c r="Q310" i="5"/>
  <c r="Q311" i="5"/>
  <c r="Q312" i="5"/>
  <c r="Q313" i="5"/>
  <c r="Q314" i="5"/>
  <c r="Q315" i="5"/>
  <c r="Q316" i="5"/>
  <c r="Q317" i="5"/>
  <c r="Q318" i="5"/>
  <c r="Q319" i="5"/>
  <c r="Q320" i="5"/>
  <c r="Q321" i="5"/>
  <c r="Q322" i="5"/>
  <c r="Q323" i="5"/>
  <c r="Q324" i="5"/>
  <c r="Q325" i="5"/>
  <c r="Q326" i="5"/>
  <c r="Q327" i="5"/>
  <c r="Q328" i="5"/>
  <c r="Q329" i="5"/>
  <c r="Q330" i="5"/>
  <c r="Q331" i="5"/>
  <c r="Q332" i="5"/>
  <c r="Q333" i="5"/>
  <c r="Q334" i="5"/>
  <c r="Q335" i="5"/>
  <c r="Q336" i="5"/>
  <c r="Q337" i="5"/>
  <c r="Q338" i="5"/>
  <c r="Q339" i="5"/>
  <c r="Q340" i="5"/>
  <c r="R3" i="5"/>
  <c r="R12" i="5"/>
  <c r="R13" i="5"/>
  <c r="R24" i="5"/>
  <c r="R25" i="5"/>
  <c r="R37" i="5"/>
  <c r="R38" i="5"/>
  <c r="R49" i="5"/>
  <c r="R60" i="5"/>
  <c r="R61" i="5"/>
  <c r="R73" i="5"/>
  <c r="R84" i="5"/>
  <c r="R85" i="5"/>
  <c r="R96" i="5"/>
  <c r="R97" i="5"/>
  <c r="R109" i="5"/>
  <c r="R121" i="5"/>
  <c r="R132" i="5"/>
  <c r="R133" i="5"/>
  <c r="R144" i="5"/>
  <c r="R145" i="5"/>
  <c r="R156" i="5"/>
  <c r="R157" i="5"/>
  <c r="R168" i="5"/>
  <c r="R169" i="5"/>
  <c r="R170" i="5"/>
  <c r="R204" i="5"/>
  <c r="R205" i="5"/>
  <c r="R216" i="5"/>
  <c r="R217" i="5"/>
  <c r="R229" i="5"/>
  <c r="R240" i="5"/>
  <c r="R241" i="5"/>
  <c r="R252" i="5"/>
  <c r="R264" i="5"/>
  <c r="R265" i="5"/>
  <c r="R288" i="5"/>
  <c r="R289" i="5"/>
  <c r="R300" i="5"/>
  <c r="R301" i="5"/>
  <c r="R312" i="5"/>
  <c r="R313" i="5"/>
  <c r="R325" i="5"/>
  <c r="R336" i="5"/>
  <c r="R337" i="5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I201" i="3" s="1"/>
  <c r="J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G5" i="9"/>
  <c r="G4" i="9"/>
  <c r="G3" i="9"/>
  <c r="G2" i="9"/>
  <c r="F5" i="9"/>
  <c r="F4" i="9"/>
  <c r="F3" i="9"/>
  <c r="F2" i="9"/>
  <c r="E5" i="9"/>
  <c r="E4" i="9"/>
  <c r="E3" i="9"/>
  <c r="E2" i="9"/>
  <c r="D5" i="9"/>
  <c r="D4" i="9"/>
  <c r="D3" i="9"/>
  <c r="D2" i="9"/>
  <c r="C5" i="9"/>
  <c r="C4" i="9"/>
  <c r="C3" i="9"/>
  <c r="C2" i="9"/>
  <c r="B5" i="9"/>
  <c r="B4" i="9"/>
  <c r="B3" i="9"/>
  <c r="B2" i="9"/>
  <c r="I200" i="3" l="1"/>
  <c r="I199" i="3"/>
  <c r="I198" i="3"/>
  <c r="I197" i="3"/>
  <c r="I196" i="3"/>
  <c r="I195" i="3"/>
  <c r="I194" i="3"/>
  <c r="I193" i="3"/>
  <c r="I192" i="3"/>
  <c r="I191" i="3"/>
  <c r="I190" i="3"/>
  <c r="I189" i="3"/>
  <c r="I188" i="3"/>
  <c r="I187" i="3"/>
  <c r="I186" i="3"/>
  <c r="I185" i="3"/>
  <c r="I184" i="3"/>
  <c r="I183" i="3"/>
  <c r="I182" i="3"/>
  <c r="I181" i="3"/>
  <c r="I180" i="3"/>
  <c r="I179" i="3"/>
  <c r="I178" i="3"/>
  <c r="I177" i="3"/>
  <c r="I176" i="3"/>
  <c r="I175" i="3"/>
  <c r="I174" i="3"/>
  <c r="I173" i="3"/>
  <c r="I172" i="3"/>
  <c r="I171" i="3"/>
  <c r="I170" i="3"/>
  <c r="I169" i="3"/>
  <c r="I168" i="3"/>
  <c r="I167" i="3"/>
  <c r="I166" i="3"/>
  <c r="I165" i="3"/>
  <c r="I164" i="3"/>
  <c r="I163" i="3"/>
  <c r="I162" i="3"/>
  <c r="I161" i="3"/>
  <c r="I160" i="3"/>
  <c r="I159" i="3"/>
  <c r="I158" i="3"/>
  <c r="I157" i="3"/>
  <c r="I156" i="3"/>
  <c r="I155" i="3"/>
  <c r="I154" i="3"/>
  <c r="I153" i="3"/>
  <c r="I152" i="3"/>
  <c r="I151" i="3"/>
  <c r="I150" i="3"/>
  <c r="I149" i="3"/>
  <c r="I148" i="3"/>
  <c r="I147" i="3"/>
  <c r="I146" i="3"/>
  <c r="I145" i="3"/>
  <c r="I144" i="3"/>
  <c r="I143" i="3"/>
  <c r="I142" i="3"/>
  <c r="I141" i="3"/>
  <c r="I140" i="3"/>
  <c r="I139" i="3"/>
  <c r="I138" i="3"/>
  <c r="I137" i="3"/>
  <c r="I136" i="3"/>
  <c r="I135" i="3"/>
  <c r="I134" i="3"/>
  <c r="I133" i="3"/>
  <c r="I132" i="3"/>
  <c r="I131" i="3"/>
  <c r="I130" i="3"/>
  <c r="I129" i="3"/>
  <c r="I128" i="3"/>
  <c r="I127" i="3"/>
  <c r="I126" i="3"/>
  <c r="I125" i="3"/>
  <c r="I124" i="3"/>
  <c r="I123" i="3"/>
  <c r="I122" i="3"/>
  <c r="I121" i="3"/>
  <c r="I120" i="3"/>
  <c r="I119" i="3"/>
  <c r="I118" i="3"/>
  <c r="I117" i="3"/>
  <c r="I116" i="3"/>
  <c r="I115" i="3"/>
  <c r="I114" i="3"/>
  <c r="I113" i="3"/>
  <c r="I112" i="3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C20" i="9"/>
  <c r="B17" i="9"/>
  <c r="B18" i="9"/>
  <c r="B19" i="9"/>
  <c r="B20" i="9"/>
  <c r="C17" i="9"/>
  <c r="D17" i="9" s="1"/>
  <c r="C18" i="9"/>
  <c r="C19" i="9"/>
  <c r="D20" i="9" l="1"/>
  <c r="D18" i="9"/>
  <c r="D19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FDBF4F-F47A-4697-9FD9-258356A7CFB5}" keepAlive="1" name="Query - Campaign Metadata" description="Connection to the 'Campaign Metadata' query in the workbook." type="5" refreshedVersion="8" background="1" saveData="1">
    <dbPr connection="Provider=Microsoft.Mashup.OleDb.1;Data Source=$Workbook$;Location=&quot;Campaign Metadata&quot;;Extended Properties=&quot;&quot;" command="SELECT * FROM [Campaign Metadata]"/>
  </connection>
  <connection id="2" xr16:uid="{3C2D67CB-93B9-4ABA-90E4-B31E180AEF86}" keepAlive="1" name="Query - Engagement Summary" description="Connection to the 'Engagement Summary' query in the workbook." type="5" refreshedVersion="8" background="1" saveData="1">
    <dbPr connection="Provider=Microsoft.Mashup.OleDb.1;Data Source=$Workbook$;Location=&quot;Engagement Summary&quot;;Extended Properties=&quot;&quot;" command="SELECT * FROM [Engagement Summary]"/>
  </connection>
  <connection id="3" xr16:uid="{E5BAADD2-A503-497A-BBDA-978E06FC342A}" keepAlive="1" name="Query - Posts" description="Connection to the 'Posts' query in the workbook." type="5" refreshedVersion="8" background="1" saveData="1">
    <dbPr connection="Provider=Microsoft.Mashup.OleDb.1;Data Source=$Workbook$;Location=Posts;Extended Properties=&quot;&quot;" command="SELECT * FROM [Posts]"/>
  </connection>
  <connection id="4" xr16:uid="{BA57845C-21E8-4A4F-8458-51769040DA18}" keepAlive="1" name="Query - Posts (2)" description="Connection to the 'Posts (2)' query in the workbook." type="5" refreshedVersion="8" background="1" saveData="1">
    <dbPr connection="Provider=Microsoft.Mashup.OleDb.1;Data Source=$Workbook$;Location=&quot;Posts (2)&quot;;Extended Properties=&quot;&quot;" command="SELECT * FROM [Posts (2)]"/>
  </connection>
</connections>
</file>

<file path=xl/sharedStrings.xml><?xml version="1.0" encoding="utf-8"?>
<sst xmlns="http://schemas.openxmlformats.org/spreadsheetml/2006/main" count="4672" uniqueCount="448">
  <si>
    <t>Campaign_Name</t>
  </si>
  <si>
    <t>Start_Date</t>
  </si>
  <si>
    <t>End_Date</t>
  </si>
  <si>
    <t>Objective</t>
  </si>
  <si>
    <t>Total_Budget</t>
  </si>
  <si>
    <t>Target_Platforms</t>
  </si>
  <si>
    <t>Primary_Hashtags</t>
  </si>
  <si>
    <t>CybertruckLaunch</t>
  </si>
  <si>
    <t>Product Awareness</t>
  </si>
  <si>
    <t>Instagram,Facebook</t>
  </si>
  <si>
    <t>#EVRevolution,#TeslaCoInnovation</t>
  </si>
  <si>
    <t>ModelYCampaign</t>
  </si>
  <si>
    <t>Customer Engagement</t>
  </si>
  <si>
    <t>Instagram,YouTube</t>
  </si>
  <si>
    <t>#AnytimeIsTeslaTime,</t>
  </si>
  <si>
    <t>FSDUpdate</t>
  </si>
  <si>
    <t>Vehicle Launch</t>
  </si>
  <si>
    <t>Facebook,Twitter</t>
  </si>
  <si>
    <t>#SmoothLikeNitroTesla</t>
  </si>
  <si>
    <t>SustainabilityDrive</t>
  </si>
  <si>
    <t>Community Growth</t>
  </si>
  <si>
    <t>Instagram,Twitter</t>
  </si>
  <si>
    <t>#BetterWithTesla,#FutureOfDriving</t>
  </si>
  <si>
    <t>Week_Start_Date</t>
  </si>
  <si>
    <t>Platform</t>
  </si>
  <si>
    <t>New_Followers</t>
  </si>
  <si>
    <t>Unfollows</t>
  </si>
  <si>
    <t>Total_Followers</t>
  </si>
  <si>
    <t>Engagement_Rate</t>
  </si>
  <si>
    <t>Ad_Spend</t>
  </si>
  <si>
    <t>Instagram</t>
  </si>
  <si>
    <t>Facebook</t>
  </si>
  <si>
    <t>Twitter</t>
  </si>
  <si>
    <t>YouTube</t>
  </si>
  <si>
    <t>Post ID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</si>
  <si>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</si>
  <si>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</si>
  <si>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</si>
  <si>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</si>
  <si>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</si>
  <si>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</si>
  <si>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</si>
  <si>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</si>
  <si>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</si>
  <si>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</si>
  <si>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P001</t>
  </si>
  <si>
    <t>Reel</t>
  </si>
  <si>
    <t>Check out our latest reel on twitter!</t>
  </si>
  <si>
    <t>#FutureOfDriving</t>
  </si>
  <si>
    <t>#AnytimeIsTeslaTime</t>
  </si>
  <si>
    <t>P002</t>
  </si>
  <si>
    <t>Text</t>
  </si>
  <si>
    <t>Check out our latest text on twitter!</t>
  </si>
  <si>
    <t>#TeslaCoInnovation</t>
  </si>
  <si>
    <t>#BetterWithTesla</t>
  </si>
  <si>
    <t>P003</t>
  </si>
  <si>
    <t>Check out our latest reel on youtube!</t>
  </si>
  <si>
    <t>P004</t>
  </si>
  <si>
    <t>Story</t>
  </si>
  <si>
    <t>Check out our latest story on instagram!</t>
  </si>
  <si>
    <t>#EVRevolution</t>
  </si>
  <si>
    <t>P005</t>
  </si>
  <si>
    <t>P006</t>
  </si>
  <si>
    <t>Carousel</t>
  </si>
  <si>
    <t>Check out our latest carousel on facebook!</t>
  </si>
  <si>
    <t>P007</t>
  </si>
  <si>
    <t>Check out our latest carousel on twitter!</t>
  </si>
  <si>
    <t>P008</t>
  </si>
  <si>
    <t>Image</t>
  </si>
  <si>
    <t>Check out our latest image on youtube!</t>
  </si>
  <si>
    <t>P009</t>
  </si>
  <si>
    <t>Check out our latest text on facebook!</t>
  </si>
  <si>
    <t>P010</t>
  </si>
  <si>
    <t>Check out our latest image on facebook!</t>
  </si>
  <si>
    <t>P011</t>
  </si>
  <si>
    <t>P012</t>
  </si>
  <si>
    <t>Check out our latest reel on facebook!</t>
  </si>
  <si>
    <t>P013</t>
  </si>
  <si>
    <t>Check out our latest carousel on youtube!</t>
  </si>
  <si>
    <t>P014</t>
  </si>
  <si>
    <t>Check out our latest story on facebook!</t>
  </si>
  <si>
    <t>P015</t>
  </si>
  <si>
    <t>Video</t>
  </si>
  <si>
    <t>Check out our latest video on facebook!</t>
  </si>
  <si>
    <t>P016</t>
  </si>
  <si>
    <t>P017</t>
  </si>
  <si>
    <t>P018</t>
  </si>
  <si>
    <t>Check out our latest reel on instagram!</t>
  </si>
  <si>
    <t>P019</t>
  </si>
  <si>
    <t>Check out our latest video on instagram!</t>
  </si>
  <si>
    <t>P020</t>
  </si>
  <si>
    <t>Check out our latest carousel on instagram!</t>
  </si>
  <si>
    <t>P021</t>
  </si>
  <si>
    <t>P022</t>
  </si>
  <si>
    <t>P023</t>
  </si>
  <si>
    <t>P024</t>
  </si>
  <si>
    <t>P025</t>
  </si>
  <si>
    <t>P026</t>
  </si>
  <si>
    <t>P027</t>
  </si>
  <si>
    <t>Check out our latest text on youtube!</t>
  </si>
  <si>
    <t>P028</t>
  </si>
  <si>
    <t>P029</t>
  </si>
  <si>
    <t>P030</t>
  </si>
  <si>
    <t>P031</t>
  </si>
  <si>
    <t>Check out our latest text on instagram!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</si>
  <si>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</si>
  <si>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</si>
  <si>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</si>
  <si>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</si>
  <si>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</si>
  <si>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</si>
  <si>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</si>
  <si>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</si>
  <si>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</si>
  <si>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Check out our latest image on twitter!</t>
  </si>
  <si>
    <t>P041</t>
  </si>
  <si>
    <t>P042</t>
  </si>
  <si>
    <t>P043</t>
  </si>
  <si>
    <t>P044</t>
  </si>
  <si>
    <t>P045</t>
  </si>
  <si>
    <t>P046</t>
  </si>
  <si>
    <t>Check out our latest video on twitter!</t>
  </si>
  <si>
    <t>P047</t>
  </si>
  <si>
    <t>P048</t>
  </si>
  <si>
    <t>Check out our latest story on twitter!</t>
  </si>
  <si>
    <t>P049</t>
  </si>
  <si>
    <t>P050</t>
  </si>
  <si>
    <t>Check out our latest story on youtube!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</si>
  <si>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</si>
  <si>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</si>
  <si>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</si>
  <si>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</si>
  <si>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</si>
  <si>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</si>
  <si>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</si>
  <si>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</si>
  <si>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</si>
  <si>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</si>
  <si>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</si>
  <si>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</si>
  <si>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</si>
  <si>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</si>
  <si>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</si>
  <si>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</si>
  <si>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</si>
  <si>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</si>
  <si>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</si>
  <si>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</si>
  <si>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</si>
  <si>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</si>
  <si>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</si>
  <si>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</si>
  <si>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</si>
  <si>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</si>
  <si>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</si>
  <si>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</si>
  <si>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</si>
  <si>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</si>
  <si>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</si>
  <si>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</si>
  <si>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Check out our latest image on instagram!</t>
  </si>
  <si>
    <t>P083</t>
  </si>
  <si>
    <t>Check out our latest video on youtube!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</si>
  <si>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</si>
  <si>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</si>
  <si>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</si>
  <si>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</si>
  <si>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</si>
  <si>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</si>
  <si>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</si>
  <si>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</si>
  <si>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</si>
  <si>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</si>
  <si>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</si>
  <si>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</si>
  <si>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</si>
  <si>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</si>
  <si>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</si>
  <si>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</si>
  <si>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</si>
  <si>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</si>
  <si>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</si>
  <si>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</si>
  <si>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</si>
  <si>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</si>
  <si>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</si>
  <si>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</si>
  <si>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</si>
  <si>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</si>
  <si>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</si>
  <si>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</si>
  <si>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</si>
  <si>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</si>
  <si>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</si>
  <si>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</si>
  <si>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</si>
  <si>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</si>
  <si>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</si>
  <si>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</si>
  <si>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</si>
  <si>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</si>
  <si>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</si>
  <si>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</si>
  <si>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</si>
  <si>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</si>
  <si>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</si>
  <si>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</si>
  <si>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</si>
  <si>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</si>
  <si>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</si>
  <si>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</si>
  <si>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</si>
  <si>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</si>
  <si>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</si>
  <si>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</si>
  <si>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</si>
  <si>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</si>
  <si>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</si>
  <si>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</si>
  <si>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</si>
  <si>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</si>
  <si>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</si>
  <si>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</si>
  <si>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</si>
  <si>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</si>
  <si>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</si>
  <si>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</si>
  <si>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</si>
  <si>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</si>
  <si>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</si>
  <si>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</si>
  <si>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</si>
  <si>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</si>
  <si>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</si>
  <si>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</si>
  <si>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</si>
  <si>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</si>
  <si>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</si>
  <si>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</si>
  <si>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</si>
  <si>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</si>
  <si>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</si>
  <si>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</si>
  <si>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</si>
  <si>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</si>
  <si>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</si>
  <si>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</si>
  <si>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</si>
  <si>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</si>
  <si>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</si>
  <si>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</si>
  <si>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</si>
  <si>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</si>
  <si>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</si>
  <si>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</si>
  <si>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</si>
  <si>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</si>
  <si>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</si>
  <si>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</si>
  <si>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</si>
  <si>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</si>
  <si>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</si>
  <si>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</si>
  <si>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</si>
  <si>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</si>
  <si>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</si>
  <si>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</si>
  <si>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</si>
  <si>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</si>
  <si>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</si>
  <si>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</si>
  <si>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</si>
  <si>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</si>
  <si>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</si>
  <si>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</si>
  <si>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</si>
  <si>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</si>
  <si>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</si>
  <si>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</si>
  <si>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</si>
  <si>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</si>
  <si>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</si>
  <si>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</si>
  <si>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</si>
  <si>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</si>
  <si>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</si>
  <si>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</si>
  <si>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</si>
  <si>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</si>
  <si>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</si>
  <si>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</si>
  <si>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</si>
  <si>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</si>
  <si>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</si>
  <si>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</si>
  <si>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</si>
  <si>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</si>
  <si>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</si>
  <si>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</si>
  <si>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</si>
  <si>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</si>
  <si>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</si>
  <si>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</si>
  <si>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</si>
  <si>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</si>
  <si>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</si>
  <si>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</si>
  <si>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</si>
  <si>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</si>
  <si>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</si>
  <si>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</si>
  <si>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</si>
  <si>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</si>
  <si>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</si>
  <si>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</si>
  <si>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</si>
  <si>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</si>
  <si>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</si>
  <si>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</si>
  <si>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</si>
  <si>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</si>
  <si>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</si>
  <si>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</si>
  <si>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</si>
  <si>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</si>
  <si>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</si>
  <si>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</si>
  <si>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</si>
  <si>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</si>
  <si>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</si>
  <si>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</si>
  <si>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</si>
  <si>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</si>
  <si>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</si>
  <si>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</si>
  <si>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</si>
  <si>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</si>
  <si>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</si>
  <si>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</si>
  <si>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</si>
  <si>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</si>
  <si>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</si>
  <si>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</si>
  <si>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</si>
  <si>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</si>
  <si>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</si>
  <si>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</si>
  <si>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</si>
  <si>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</si>
  <si>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</si>
  <si>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</si>
  <si>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</si>
  <si>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</si>
  <si>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</si>
  <si>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</si>
  <si>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</si>
  <si>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</si>
  <si>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</si>
  <si>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</si>
  <si>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</si>
  <si>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</si>
  <si>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</si>
  <si>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</si>
  <si>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</si>
  <si>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</si>
  <si>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</si>
  <si>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</si>
  <si>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</si>
  <si>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</si>
  <si>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</si>
  <si>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</si>
  <si>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</si>
  <si>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</si>
  <si>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</si>
  <si>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</si>
  <si>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</si>
  <si>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</si>
  <si>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</si>
  <si>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</si>
  <si>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</si>
  <si>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NA</t>
  </si>
  <si>
    <t>Engagement Rate</t>
  </si>
  <si>
    <t>Row Labels</t>
  </si>
  <si>
    <t>Engagement</t>
  </si>
  <si>
    <t>Sum of Engagement</t>
  </si>
  <si>
    <t>Sum of Likes</t>
  </si>
  <si>
    <t>Sum of Shares</t>
  </si>
  <si>
    <t>Sum of Comments</t>
  </si>
  <si>
    <t>Average of Clicks</t>
  </si>
  <si>
    <t>Growth Rate</t>
  </si>
  <si>
    <t>Ad Spend</t>
  </si>
  <si>
    <t>Avg Engagement Rate</t>
  </si>
  <si>
    <t>Engagement Rate per Platform</t>
  </si>
  <si>
    <t>#Insights : Instagram have the highest engagement rate</t>
  </si>
  <si>
    <t>Top 10 Tesla posts with highest engagement</t>
  </si>
  <si>
    <t>#Insights : Post ID 280 (YouTube) have the highest engagement</t>
  </si>
  <si>
    <t>Total Likes, Shares, Comments by Content Type &amp; Platform</t>
  </si>
  <si>
    <t>Column Labels</t>
  </si>
  <si>
    <t>#Insights : Facebook have most likes and comments while Instagram have most shares.</t>
  </si>
  <si>
    <t>Average Clicks per post by Hashtag</t>
  </si>
  <si>
    <t>#Insights : #AnytimeTeslaTime have the highest avg clicks</t>
  </si>
  <si>
    <t>Identify the platform with highest engagement</t>
  </si>
  <si>
    <t>Sum of Growth Rate</t>
  </si>
  <si>
    <t>Follower growth rates across platforms</t>
  </si>
  <si>
    <t>#Insights : Twitter have the highest follower growth rate</t>
  </si>
  <si>
    <t>#Insights : Facebook have the highest engagement</t>
  </si>
  <si>
    <t>Count of Hashtags Used</t>
  </si>
  <si>
    <t>Identify most frequently used Tesla hashtags.</t>
  </si>
  <si>
    <t>#Insights : #TeslaColnnovation is the most used hashtags</t>
  </si>
  <si>
    <t>Average of Engagement</t>
  </si>
  <si>
    <t>Average performance of posts containing each hashtag</t>
  </si>
  <si>
    <t>content performance</t>
  </si>
  <si>
    <t>#Insights : Story content has the best performance</t>
  </si>
  <si>
    <t>Content type performance per platform</t>
  </si>
  <si>
    <t>#Recommendation of content type per platform : Facebook --&gt; Carousel,Reel, Video
Instagram --&gt; Image, Story
Twitter --&gt; Text, Carousel
Youtube --&gt; Story, Text, Video</t>
  </si>
  <si>
    <t>#Insights : #BetterWithTesla hashtag has the best performance.</t>
  </si>
  <si>
    <t>Campaign Name</t>
  </si>
  <si>
    <t>Total impressions</t>
  </si>
  <si>
    <t>Avg Impressions</t>
  </si>
  <si>
    <t>Total Likes</t>
  </si>
  <si>
    <t>Avg Likes</t>
  </si>
  <si>
    <t>Total Clicks</t>
  </si>
  <si>
    <t>Avg Clicks</t>
  </si>
  <si>
    <t>Sum of Total impressions</t>
  </si>
  <si>
    <t>Sum of Avg Impressions</t>
  </si>
  <si>
    <t>Sum of Total Likes</t>
  </si>
  <si>
    <t>Sum of Avg Likes</t>
  </si>
  <si>
    <t>Sum of Total Clicks</t>
  </si>
  <si>
    <t>Sum of Avg Clicks</t>
  </si>
  <si>
    <t>Period</t>
  </si>
  <si>
    <t>Uplift %</t>
  </si>
  <si>
    <t>#Insights : SustainabilityDrive campaign has the best impacts among campaign</t>
  </si>
  <si>
    <t>Before Campaign</t>
  </si>
  <si>
    <t>During Campaign</t>
  </si>
  <si>
    <t>#Insights : CybertruckLaunch has  highest spike of 208%</t>
  </si>
  <si>
    <t>ROI</t>
  </si>
  <si>
    <t>Average of ROI</t>
  </si>
  <si>
    <t>#Insights : CybertruckLaunch has the highest ROI</t>
  </si>
  <si>
    <t>Net Growth Followers</t>
  </si>
  <si>
    <t>#Insights : SustainabilityDrive Campaign have the strongest followers growth rate</t>
  </si>
  <si>
    <t>Sum of Net Growth Followers</t>
  </si>
  <si>
    <t>#Findings 30 December 2024 week have the highest peak of follower gain</t>
  </si>
  <si>
    <t>Average of Ad Spend</t>
  </si>
  <si>
    <t>Visualize Engagement vs. Ad Spend per platform.</t>
  </si>
  <si>
    <t>Accroding to my analysis Tesla should focus on Twitter + Youtube</t>
  </si>
  <si>
    <t>Ad spend and Followers gain are directly proportional because it has a positive correlation.</t>
  </si>
  <si>
    <t>Average of Impressions</t>
  </si>
  <si>
    <t>#Insights : #BetterWithTesla is the top performing hashtags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</si>
</sst>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\ h\.mm"/>
    <numFmt numFmtId="165" formatCode="0.0"/>
    <numFmt numFmtId="166" formatCode="0.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14" fontId="0" fillId="0" borderId="0" xfId="0" applyNumberFormat="1"/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0" fontId="0" fillId="0" borderId="0" xfId="0" applyAlignment="1">
      <alignment horizontal="left" indent="1"/>
    </xf>
    <xf numFmtId="1" fontId="0" fillId="0" borderId="0" xfId="0" applyNumberFormat="1"/>
    <xf numFmtId="165" fontId="0" fillId="0" borderId="0" xfId="0" applyNumberFormat="1"/>
    <xf numFmtId="10" fontId="0" fillId="0" borderId="0" xfId="1" applyNumberFormat="1" applyFont="1"/>
    <xf numFmtId="10" fontId="0" fillId="0" borderId="0" xfId="0" applyNumberFormat="1"/>
    <xf numFmtId="0" fontId="2" fillId="2" borderId="0" xfId="0" applyFont="1" applyFill="1"/>
    <xf numFmtId="2" fontId="0" fillId="0" borderId="0" xfId="0" applyNumberFormat="1"/>
    <xf numFmtId="166" fontId="0" fillId="0" borderId="0" xfId="0" applyNumberFormat="1"/>
    <xf numFmtId="14" fontId="0" fillId="0" borderId="0" xfId="0" applyNumberFormat="1" applyAlignment="1">
      <alignment horizontal="left"/>
    </xf>
    <xf numFmtId="0" fontId="0" fillId="0" borderId="1" xfId="0" applyBorder="1"/>
    <xf numFmtId="0" fontId="7" fillId="0" borderId="2" xfId="0" applyFont="1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/>
    </xf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top" wrapText="1"/>
    </xf>
    <xf numFmtId="0" fontId="5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wrapText="1"/>
    </xf>
  </cellXfs>
  <cellStyles count="2">
    <cellStyle name="Normal" xfId="0" builtinId="0"/>
    <cellStyle name="Percent" xfId="1" builtinId="5"/>
  </cellStyles>
  <dxfs count="40"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65" formatCode="0.0"/>
    </dxf>
    <dxf>
      <numFmt numFmtId="1" formatCode="0"/>
    </dxf>
    <dxf>
      <numFmt numFmtId="166" formatCode="0.000"/>
    </dxf>
    <dxf>
      <numFmt numFmtId="0" formatCode="General"/>
    </dxf>
    <dxf>
      <numFmt numFmtId="1" formatCode="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14" formatCode="0.00%"/>
    </dxf>
    <dxf>
      <numFmt numFmtId="1" formatCode="0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Project.xlsx]Task2!PivotTable1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Engagement</a:t>
            </a:r>
            <a:r>
              <a:rPr lang="en-US" b="1" baseline="0"/>
              <a:t> Rate Per Platform</a:t>
            </a:r>
          </a:p>
        </c:rich>
      </c:tx>
      <c:layout>
        <c:manualLayout>
          <c:xMode val="edge"/>
          <c:yMode val="edge"/>
          <c:x val="0.21212325129299894"/>
          <c:y val="5.68828213879408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Task2!$B$3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Task2!$A$4:$A$7</c:f>
              <c:strCache>
                <c:ptCount val="4"/>
                <c:pt idx="0">
                  <c:v>Instagram</c:v>
                </c:pt>
                <c:pt idx="1">
                  <c:v>Twitter</c:v>
                </c:pt>
                <c:pt idx="2">
                  <c:v>YouTube</c:v>
                </c:pt>
                <c:pt idx="3">
                  <c:v>Facebook</c:v>
                </c:pt>
              </c:strCache>
            </c:strRef>
          </c:cat>
          <c:val>
            <c:numRef>
              <c:f>Task2!$B$4:$B$7</c:f>
              <c:numCache>
                <c:formatCode>0%</c:formatCode>
                <c:ptCount val="4"/>
                <c:pt idx="0">
                  <c:v>0.18531784517185629</c:v>
                </c:pt>
                <c:pt idx="1">
                  <c:v>0.13739368723551609</c:v>
                </c:pt>
                <c:pt idx="2">
                  <c:v>0.13298735096853673</c:v>
                </c:pt>
                <c:pt idx="3">
                  <c:v>0.12094203382654924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62-487D-8679-4E35EEE724A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2116176463"/>
        <c:axId val="2116160143"/>
        <c:axId val="0"/>
      </c:bar3DChart>
      <c:catAx>
        <c:axId val="2116176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160143"/>
        <c:crosses val="autoZero"/>
        <c:auto val="1"/>
        <c:lblAlgn val="ctr"/>
        <c:lblOffset val="100"/>
        <c:noMultiLvlLbl val="0"/>
      </c:catAx>
      <c:valAx>
        <c:axId val="2116160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176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7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Project.xlsx]Task2!PivotTable3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Top 10 Tesla posts with highest engagement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Task2!$B$17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Task2!$A$18:$A$27</c:f>
              <c:strCache>
                <c:ptCount val="10"/>
                <c:pt idx="0">
                  <c:v>P280</c:v>
                </c:pt>
                <c:pt idx="1">
                  <c:v>P260</c:v>
                </c:pt>
                <c:pt idx="2">
                  <c:v>P300</c:v>
                </c:pt>
                <c:pt idx="3">
                  <c:v>P247</c:v>
                </c:pt>
                <c:pt idx="4">
                  <c:v>P164</c:v>
                </c:pt>
                <c:pt idx="5">
                  <c:v>P257</c:v>
                </c:pt>
                <c:pt idx="6">
                  <c:v>P097</c:v>
                </c:pt>
                <c:pt idx="7">
                  <c:v>P002</c:v>
                </c:pt>
                <c:pt idx="8">
                  <c:v>P207</c:v>
                </c:pt>
                <c:pt idx="9">
                  <c:v>P205</c:v>
                </c:pt>
              </c:strCache>
            </c:strRef>
          </c:cat>
          <c:val>
            <c:numRef>
              <c:f>Task2!$B$18:$B$27</c:f>
              <c:numCache>
                <c:formatCode>General</c:formatCode>
                <c:ptCount val="10"/>
                <c:pt idx="0">
                  <c:v>16020</c:v>
                </c:pt>
                <c:pt idx="1">
                  <c:v>15966</c:v>
                </c:pt>
                <c:pt idx="2">
                  <c:v>15768</c:v>
                </c:pt>
                <c:pt idx="3">
                  <c:v>12702</c:v>
                </c:pt>
                <c:pt idx="4">
                  <c:v>12122</c:v>
                </c:pt>
                <c:pt idx="5">
                  <c:v>11853</c:v>
                </c:pt>
                <c:pt idx="6">
                  <c:v>10802</c:v>
                </c:pt>
                <c:pt idx="7">
                  <c:v>9872</c:v>
                </c:pt>
                <c:pt idx="8">
                  <c:v>9790</c:v>
                </c:pt>
                <c:pt idx="9">
                  <c:v>9570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49-4B09-8575-32A564240C7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16208143"/>
        <c:axId val="2116208623"/>
      </c:barChart>
      <c:catAx>
        <c:axId val="2116208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208623"/>
        <c:crosses val="autoZero"/>
        <c:auto val="1"/>
        <c:lblAlgn val="ctr"/>
        <c:lblOffset val="100"/>
        <c:noMultiLvlLbl val="0"/>
      </c:catAx>
      <c:valAx>
        <c:axId val="2116208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208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7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Project.xlsx]Task2!PivotTable5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Average Clicks per post by Hashtag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Task2!$B$69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Task2!$A$70:$A$75</c:f>
              <c:strCache>
                <c:ptCount val="6"/>
                <c:pt idx="0">
                  <c:v>#AnytimeIsTeslaTime</c:v>
                </c:pt>
                <c:pt idx="1">
                  <c:v>#TeslaCoInnovation</c:v>
                </c:pt>
                <c:pt idx="2">
                  <c:v>#EVRevolution</c:v>
                </c:pt>
                <c:pt idx="3">
                  <c:v>#FutureOfDriving</c:v>
                </c:pt>
                <c:pt idx="4">
                  <c:v>#BetterWithTesla</c:v>
                </c:pt>
                <c:pt idx="5">
                  <c:v>#SmoothLikeNitroTesla</c:v>
                </c:pt>
              </c:strCache>
            </c:strRef>
          </c:cat>
          <c:val>
            <c:numRef>
              <c:f>Task2!$B$70:$B$75</c:f>
              <c:numCache>
                <c:formatCode>0.0</c:formatCode>
                <c:ptCount val="6"/>
                <c:pt idx="0">
                  <c:v>161.19999999999999</c:v>
                </c:pt>
                <c:pt idx="1">
                  <c:v>158.65420560747663</c:v>
                </c:pt>
                <c:pt idx="2">
                  <c:v>151.52941176470588</c:v>
                </c:pt>
                <c:pt idx="3">
                  <c:v>144.03883495145632</c:v>
                </c:pt>
                <c:pt idx="4">
                  <c:v>114.85714285714286</c:v>
                </c:pt>
                <c:pt idx="5">
                  <c:v>111.8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05-4C5B-A3C3-E778AF09722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271134799"/>
        <c:axId val="1271151599"/>
        <c:axId val="0"/>
      </c:bar3DChart>
      <c:catAx>
        <c:axId val="1271134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151599"/>
        <c:crosses val="autoZero"/>
        <c:auto val="1"/>
        <c:lblAlgn val="ctr"/>
        <c:lblOffset val="100"/>
        <c:noMultiLvlLbl val="0"/>
      </c:catAx>
      <c:valAx>
        <c:axId val="1271151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134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7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Project.xlsx]Task3!PivotTable6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Platform</a:t>
            </a:r>
            <a:r>
              <a:rPr lang="en-US" b="1" baseline="0"/>
              <a:t> Engagement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Task3!$B$3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Task3!$A$4:$A$7</c:f>
              <c:strCache>
                <c:ptCount val="4"/>
                <c:pt idx="0">
                  <c:v>Facebook</c:v>
                </c:pt>
                <c:pt idx="1">
                  <c:v>Twitter</c:v>
                </c:pt>
                <c:pt idx="2">
                  <c:v>Instagram</c:v>
                </c:pt>
                <c:pt idx="3">
                  <c:v>YouTube</c:v>
                </c:pt>
              </c:strCache>
            </c:strRef>
          </c:cat>
          <c:val>
            <c:numRef>
              <c:f>Task3!$B$4:$B$7</c:f>
              <c:numCache>
                <c:formatCode>General</c:formatCode>
                <c:ptCount val="4"/>
                <c:pt idx="0">
                  <c:v>334541</c:v>
                </c:pt>
                <c:pt idx="1">
                  <c:v>300942</c:v>
                </c:pt>
                <c:pt idx="2">
                  <c:v>289234</c:v>
                </c:pt>
                <c:pt idx="3">
                  <c:v>243633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F4-4D37-A352-12BD7F0EC3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116214863"/>
        <c:axId val="2116215343"/>
        <c:axId val="0"/>
      </c:bar3DChart>
      <c:catAx>
        <c:axId val="2116214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215343"/>
        <c:crosses val="autoZero"/>
        <c:auto val="1"/>
        <c:lblAlgn val="ctr"/>
        <c:lblOffset val="100"/>
        <c:noMultiLvlLbl val="0"/>
      </c:catAx>
      <c:valAx>
        <c:axId val="211621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214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7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Project.xlsx]Task3!PivotTable3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Growth</a:t>
            </a:r>
            <a:r>
              <a:rPr lang="en-US" b="1" baseline="0"/>
              <a:t> Rate Across Platform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Task3!$B$14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Task3!$A$15:$A$18</c:f>
              <c:strCache>
                <c:ptCount val="4"/>
                <c:pt idx="0">
                  <c:v>Twitter</c:v>
                </c:pt>
                <c:pt idx="1">
                  <c:v>YouTube</c:v>
                </c:pt>
                <c:pt idx="2">
                  <c:v>Instagram</c:v>
                </c:pt>
                <c:pt idx="3">
                  <c:v>Facebook</c:v>
                </c:pt>
              </c:strCache>
            </c:strRef>
          </c:cat>
          <c:val>
            <c:numRef>
              <c:f>Task3!$B$15:$B$18</c:f>
              <c:numCache>
                <c:formatCode>0.00%</c:formatCode>
                <c:ptCount val="4"/>
                <c:pt idx="0">
                  <c:v>0.46400128383106698</c:v>
                </c:pt>
                <c:pt idx="1">
                  <c:v>0.45105333156680044</c:v>
                </c:pt>
                <c:pt idx="2">
                  <c:v>0.28812660632475912</c:v>
                </c:pt>
                <c:pt idx="3">
                  <c:v>0.27324953416486325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1D-47CE-8F29-67C6E0A61F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116216783"/>
        <c:axId val="2116201903"/>
        <c:axId val="0"/>
      </c:bar3DChart>
      <c:catAx>
        <c:axId val="2116216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201903"/>
        <c:crosses val="autoZero"/>
        <c:auto val="1"/>
        <c:lblAlgn val="ctr"/>
        <c:lblOffset val="100"/>
        <c:noMultiLvlLbl val="0"/>
      </c:catAx>
      <c:valAx>
        <c:axId val="211620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216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7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Project.xlsx]Task3!PivotTable8</c:name>
    <c:fmtId val="0"/>
  </c:pivotSource>
  <c:chart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Task3!$B$25</c:f>
              <c:strCache>
                <c:ptCount val="1"/>
                <c:pt idx="0">
                  <c:v>Average of Ad Spend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Task3!$A$26:$A$29</c:f>
              <c:strCache>
                <c:ptCount val="4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Task3!$B$26:$B$29</c:f>
              <c:numCache>
                <c:formatCode>General</c:formatCode>
                <c:ptCount val="4"/>
                <c:pt idx="0">
                  <c:v>9566</c:v>
                </c:pt>
                <c:pt idx="1">
                  <c:v>5904</c:v>
                </c:pt>
                <c:pt idx="2">
                  <c:v>26752</c:v>
                </c:pt>
                <c:pt idx="3">
                  <c:v>30671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EC-4C20-B862-718B6F60347B}"/>
            </c:ext>
          </c:extLst>
        </c:ser>
        <c:ser>
          <c:idx val="1"/>
          <c:order val="1"/>
          <c:tx>
            <c:strRef>
              <c:f>Task3!$C$25</c:f>
              <c:strCache>
                <c:ptCount val="1"/>
                <c:pt idx="0">
                  <c:v>Average of Engagement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Task3!$A$26:$A$29</c:f>
              <c:strCache>
                <c:ptCount val="4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Task3!$C$26:$C$29</c:f>
              <c:numCache>
                <c:formatCode>0</c:formatCode>
                <c:ptCount val="4"/>
                <c:pt idx="0">
                  <c:v>3597.2150537634407</c:v>
                </c:pt>
                <c:pt idx="1">
                  <c:v>3286.75</c:v>
                </c:pt>
                <c:pt idx="2">
                  <c:v>3271.108695652174</c:v>
                </c:pt>
                <c:pt idx="3">
                  <c:v>3691.409090909091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EC-4C20-B862-718B6F6034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23996927"/>
        <c:axId val="1723995487"/>
        <c:axId val="0"/>
      </c:bar3DChart>
      <c:catAx>
        <c:axId val="17239969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accent1">
                <a:alpha val="97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995487"/>
        <c:crosses val="autoZero"/>
        <c:auto val="1"/>
        <c:lblAlgn val="ctr"/>
        <c:lblOffset val="100"/>
        <c:noMultiLvlLbl val="0"/>
      </c:catAx>
      <c:valAx>
        <c:axId val="1723995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996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6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Project.xlsx]Task4!PivotTable9</c:name>
    <c:fmtId val="0"/>
  </c:pivotSource>
  <c:chart>
    <c:autoTitleDeleted val="1"/>
    <c:pivotFmts>
      <c:pivotFmt>
        <c:idx val="0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8012379702537182"/>
          <c:y val="1.7610888261608806E-2"/>
          <c:w val="0.5608576115485564"/>
          <c:h val="0.81672954064021741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Task4!$B$3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Task4!$A$4:$A$9</c:f>
              <c:strCache>
                <c:ptCount val="6"/>
                <c:pt idx="0">
                  <c:v>#TeslaCoInnovation</c:v>
                </c:pt>
                <c:pt idx="1">
                  <c:v>#FutureOfDriving</c:v>
                </c:pt>
                <c:pt idx="2">
                  <c:v>#EVRevolution</c:v>
                </c:pt>
                <c:pt idx="3">
                  <c:v>#AnytimeIsTeslaTime</c:v>
                </c:pt>
                <c:pt idx="4">
                  <c:v>#BetterWithTesla</c:v>
                </c:pt>
                <c:pt idx="5">
                  <c:v>#SmoothLikeNitroTesla</c:v>
                </c:pt>
              </c:strCache>
            </c:strRef>
          </c:cat>
          <c:val>
            <c:numRef>
              <c:f>Task4!$B$4:$B$9</c:f>
              <c:numCache>
                <c:formatCode>General</c:formatCode>
                <c:ptCount val="6"/>
                <c:pt idx="0">
                  <c:v>107</c:v>
                </c:pt>
                <c:pt idx="1">
                  <c:v>103</c:v>
                </c:pt>
                <c:pt idx="2">
                  <c:v>102</c:v>
                </c:pt>
                <c:pt idx="3">
                  <c:v>15</c:v>
                </c:pt>
                <c:pt idx="4">
                  <c:v>7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B6-49BD-9A46-DCBF1FBD7D5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483459536"/>
        <c:axId val="483444656"/>
        <c:axId val="0"/>
      </c:bar3DChart>
      <c:catAx>
        <c:axId val="4834595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444656"/>
        <c:crosses val="autoZero"/>
        <c:auto val="1"/>
        <c:lblAlgn val="ctr"/>
        <c:lblOffset val="100"/>
        <c:noMultiLvlLbl val="0"/>
      </c:catAx>
      <c:valAx>
        <c:axId val="483444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459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6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Project.xlsx]Task4!PivotTable10</c:name>
    <c:fmtId val="0"/>
  </c:pivotSource>
  <c:chart>
    <c:autoTitleDeleted val="1"/>
    <c:pivotFmts>
      <c:pivotFmt>
        <c:idx val="0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Task4!$B$15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Task4!$A$16:$A$21</c:f>
              <c:strCache>
                <c:ptCount val="6"/>
                <c:pt idx="0">
                  <c:v>#BetterWithTesla</c:v>
                </c:pt>
                <c:pt idx="1">
                  <c:v>#SmoothLikeNitroTesla</c:v>
                </c:pt>
                <c:pt idx="2">
                  <c:v>#EVRevolution</c:v>
                </c:pt>
                <c:pt idx="3">
                  <c:v>#TeslaCoInnovation</c:v>
                </c:pt>
                <c:pt idx="4">
                  <c:v>#FutureOfDriving</c:v>
                </c:pt>
                <c:pt idx="5">
                  <c:v>#AnytimeIsTeslaTime</c:v>
                </c:pt>
              </c:strCache>
            </c:strRef>
          </c:cat>
          <c:val>
            <c:numRef>
              <c:f>Task4!$B$16:$B$21</c:f>
              <c:numCache>
                <c:formatCode>0</c:formatCode>
                <c:ptCount val="6"/>
                <c:pt idx="0">
                  <c:v>4143.2857142857147</c:v>
                </c:pt>
                <c:pt idx="1">
                  <c:v>3767.4</c:v>
                </c:pt>
                <c:pt idx="2">
                  <c:v>3534.7156862745096</c:v>
                </c:pt>
                <c:pt idx="3">
                  <c:v>3417.3084112149531</c:v>
                </c:pt>
                <c:pt idx="4">
                  <c:v>3405.8543689320391</c:v>
                </c:pt>
                <c:pt idx="5">
                  <c:v>2900.9333333333334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3A-42AB-B5D8-378DD47A3C7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483470576"/>
        <c:axId val="483472976"/>
        <c:axId val="0"/>
      </c:bar3DChart>
      <c:catAx>
        <c:axId val="4834705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472976"/>
        <c:crosses val="autoZero"/>
        <c:auto val="1"/>
        <c:lblAlgn val="ctr"/>
        <c:lblOffset val="100"/>
        <c:noMultiLvlLbl val="0"/>
      </c:catAx>
      <c:valAx>
        <c:axId val="483472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470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6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Project.xlsx]Task4!PivotTable11</c:name>
    <c:fmtId val="0"/>
  </c:pivotSource>
  <c:chart>
    <c:autoTitleDeleted val="1"/>
    <c:pivotFmts>
      <c:pivotFmt>
        <c:idx val="0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Task4!$B$28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Task4!$A$29:$A$34</c:f>
              <c:strCache>
                <c:ptCount val="6"/>
                <c:pt idx="0">
                  <c:v>Story</c:v>
                </c:pt>
                <c:pt idx="1">
                  <c:v>Reel</c:v>
                </c:pt>
                <c:pt idx="2">
                  <c:v>Video</c:v>
                </c:pt>
                <c:pt idx="3">
                  <c:v>Text</c:v>
                </c:pt>
                <c:pt idx="4">
                  <c:v>Image</c:v>
                </c:pt>
                <c:pt idx="5">
                  <c:v>Carousel</c:v>
                </c:pt>
              </c:strCache>
            </c:strRef>
          </c:cat>
          <c:val>
            <c:numRef>
              <c:f>Task4!$B$29:$B$34</c:f>
              <c:numCache>
                <c:formatCode>0</c:formatCode>
                <c:ptCount val="6"/>
                <c:pt idx="0">
                  <c:v>3566.5416666666665</c:v>
                </c:pt>
                <c:pt idx="1">
                  <c:v>3479.2452830188681</c:v>
                </c:pt>
                <c:pt idx="2">
                  <c:v>3447.3921568627452</c:v>
                </c:pt>
                <c:pt idx="3">
                  <c:v>3438.8541666666665</c:v>
                </c:pt>
                <c:pt idx="4">
                  <c:v>3414.8472222222222</c:v>
                </c:pt>
                <c:pt idx="5">
                  <c:v>3373.2089552238808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15-444B-A62D-FA323F01B0E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483420176"/>
        <c:axId val="483420656"/>
        <c:axId val="0"/>
      </c:bar3DChart>
      <c:catAx>
        <c:axId val="4834201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420656"/>
        <c:crosses val="autoZero"/>
        <c:auto val="1"/>
        <c:lblAlgn val="ctr"/>
        <c:lblOffset val="100"/>
        <c:noMultiLvlLbl val="0"/>
      </c:catAx>
      <c:valAx>
        <c:axId val="483420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420176"/>
        <c:crosses val="autoZero"/>
        <c:crossBetween val="between"/>
      </c:valAx>
      <c:spPr>
        <a:solidFill>
          <a:schemeClr val="bg1">
            <a:lumMod val="65000"/>
          </a:schemeClr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6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Project.xlsx]Task4!PivotTable13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Task4!$B$40:$B$41</c:f>
              <c:strCache>
                <c:ptCount val="1"/>
                <c:pt idx="0">
                  <c:v>Carousel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Task4!$A$42:$A$45</c:f>
              <c:strCache>
                <c:ptCount val="4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Task4!$B$42:$B$45</c:f>
              <c:numCache>
                <c:formatCode>0</c:formatCode>
                <c:ptCount val="4"/>
                <c:pt idx="0">
                  <c:v>4033.2142857142858</c:v>
                </c:pt>
                <c:pt idx="1">
                  <c:v>3055.8421052631579</c:v>
                </c:pt>
                <c:pt idx="2">
                  <c:v>3470</c:v>
                </c:pt>
                <c:pt idx="3">
                  <c:v>2928.25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B4-4F38-B53B-1F255B4B0B24}"/>
            </c:ext>
          </c:extLst>
        </c:ser>
        <c:ser>
          <c:idx val="1"/>
          <c:order val="1"/>
          <c:tx>
            <c:strRef>
              <c:f>Task4!$C$40:$C$41</c:f>
              <c:strCache>
                <c:ptCount val="1"/>
                <c:pt idx="0">
                  <c:v>Image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Task4!$A$42:$A$45</c:f>
              <c:strCache>
                <c:ptCount val="4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Task4!$C$42:$C$45</c:f>
              <c:numCache>
                <c:formatCode>0</c:formatCode>
                <c:ptCount val="4"/>
                <c:pt idx="0">
                  <c:v>3634.1785714285716</c:v>
                </c:pt>
                <c:pt idx="1">
                  <c:v>3848.1538461538462</c:v>
                </c:pt>
                <c:pt idx="2">
                  <c:v>2899.818181818182</c:v>
                </c:pt>
                <c:pt idx="3">
                  <c:v>3365.5555555555557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8B4-4F38-B53B-1F255B4B0B24}"/>
            </c:ext>
          </c:extLst>
        </c:ser>
        <c:ser>
          <c:idx val="2"/>
          <c:order val="2"/>
          <c:tx>
            <c:strRef>
              <c:f>Task4!$D$40:$D$41</c:f>
              <c:strCache>
                <c:ptCount val="1"/>
                <c:pt idx="0">
                  <c:v>Reel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Task4!$A$42:$A$45</c:f>
              <c:strCache>
                <c:ptCount val="4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Task4!$D$42:$D$45</c:f>
              <c:numCache>
                <c:formatCode>0</c:formatCode>
                <c:ptCount val="4"/>
                <c:pt idx="0">
                  <c:v>4070.2142857142858</c:v>
                </c:pt>
                <c:pt idx="1">
                  <c:v>3357.2307692307691</c:v>
                </c:pt>
                <c:pt idx="2">
                  <c:v>2956.75</c:v>
                </c:pt>
                <c:pt idx="3">
                  <c:v>3449.4285714285716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8B4-4F38-B53B-1F255B4B0B24}"/>
            </c:ext>
          </c:extLst>
        </c:ser>
        <c:ser>
          <c:idx val="3"/>
          <c:order val="3"/>
          <c:tx>
            <c:strRef>
              <c:f>Task4!$E$40:$E$41</c:f>
              <c:strCache>
                <c:ptCount val="1"/>
                <c:pt idx="0">
                  <c:v>Story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Task4!$A$42:$A$45</c:f>
              <c:strCache>
                <c:ptCount val="4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Task4!$E$42:$E$45</c:f>
              <c:numCache>
                <c:formatCode>0</c:formatCode>
                <c:ptCount val="4"/>
                <c:pt idx="0">
                  <c:v>3416.181818181818</c:v>
                </c:pt>
                <c:pt idx="1">
                  <c:v>3536.2105263157896</c:v>
                </c:pt>
                <c:pt idx="2">
                  <c:v>3175.7777777777778</c:v>
                </c:pt>
                <c:pt idx="3">
                  <c:v>4205.1111111111113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8B4-4F38-B53B-1F255B4B0B24}"/>
            </c:ext>
          </c:extLst>
        </c:ser>
        <c:ser>
          <c:idx val="4"/>
          <c:order val="4"/>
          <c:tx>
            <c:strRef>
              <c:f>Task4!$F$40:$F$41</c:f>
              <c:strCache>
                <c:ptCount val="1"/>
                <c:pt idx="0">
                  <c:v>Text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Task4!$A$42:$A$45</c:f>
              <c:strCache>
                <c:ptCount val="4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Task4!$F$42:$F$45</c:f>
              <c:numCache>
                <c:formatCode>0</c:formatCode>
                <c:ptCount val="4"/>
                <c:pt idx="0">
                  <c:v>2806.75</c:v>
                </c:pt>
                <c:pt idx="1">
                  <c:v>3262.5</c:v>
                </c:pt>
                <c:pt idx="2">
                  <c:v>3800.5</c:v>
                </c:pt>
                <c:pt idx="3">
                  <c:v>4192.6000000000004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8B4-4F38-B53B-1F255B4B0B24}"/>
            </c:ext>
          </c:extLst>
        </c:ser>
        <c:ser>
          <c:idx val="5"/>
          <c:order val="5"/>
          <c:tx>
            <c:strRef>
              <c:f>Task4!$G$40:$G$41</c:f>
              <c:strCache>
                <c:ptCount val="1"/>
                <c:pt idx="0">
                  <c:v>Video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Task4!$A$42:$A$45</c:f>
              <c:strCache>
                <c:ptCount val="4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Task4!$G$42:$G$45</c:f>
              <c:numCache>
                <c:formatCode>0</c:formatCode>
                <c:ptCount val="4"/>
                <c:pt idx="0">
                  <c:v>3685</c:v>
                </c:pt>
                <c:pt idx="1">
                  <c:v>2692.1428571428573</c:v>
                </c:pt>
                <c:pt idx="2">
                  <c:v>3409.1333333333332</c:v>
                </c:pt>
                <c:pt idx="3">
                  <c:v>4178.333333333333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8B4-4F38-B53B-1F255B4B0B2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83421136"/>
        <c:axId val="483413936"/>
      </c:barChart>
      <c:catAx>
        <c:axId val="4834211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413936"/>
        <c:crosses val="autoZero"/>
        <c:auto val="1"/>
        <c:lblAlgn val="ctr"/>
        <c:lblOffset val="100"/>
        <c:noMultiLvlLbl val="0"/>
      </c:catAx>
      <c:valAx>
        <c:axId val="483413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421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6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Project.xlsx]Task 6!PivotTable7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/>
              <a:t>Weekly Gain Followers</a:t>
            </a:r>
          </a:p>
        </c:rich>
      </c:tx>
      <c:layout>
        <c:manualLayout>
          <c:xMode val="edge"/>
          <c:yMode val="edge"/>
          <c:x val="0.34831498164831498"/>
          <c:y val="5.91644794400699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'Task 6'!$B$3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movingAvg"/>
            <c:period val="7"/>
            <c:dispRSqr val="0"/>
            <c:dispEq val="0"/>
          </c:trendline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movingAvg"/>
            <c:period val="4"/>
            <c:dispRSqr val="0"/>
            <c:dispEq val="0"/>
          </c:trendline>
          <c:cat>
            <c:multiLvlStrRef>
              <c:f>'Task 6'!$A$4:$A$253</c:f>
              <c:multiLvlStrCache>
                <c:ptCount val="200"/>
                <c:lvl>
                  <c:pt idx="0">
                    <c:v>Facebook</c:v>
                  </c:pt>
                  <c:pt idx="1">
                    <c:v>Instagram</c:v>
                  </c:pt>
                  <c:pt idx="2">
                    <c:v>Twitter</c:v>
                  </c:pt>
                  <c:pt idx="3">
                    <c:v>YouTube</c:v>
                  </c:pt>
                  <c:pt idx="4">
                    <c:v>Instagram</c:v>
                  </c:pt>
                  <c:pt idx="5">
                    <c:v>YouTube</c:v>
                  </c:pt>
                  <c:pt idx="6">
                    <c:v>Twitter</c:v>
                  </c:pt>
                  <c:pt idx="7">
                    <c:v>Facebook</c:v>
                  </c:pt>
                  <c:pt idx="8">
                    <c:v>Instagram</c:v>
                  </c:pt>
                  <c:pt idx="9">
                    <c:v>Facebook</c:v>
                  </c:pt>
                  <c:pt idx="10">
                    <c:v>Twitter</c:v>
                  </c:pt>
                  <c:pt idx="11">
                    <c:v>YouTube</c:v>
                  </c:pt>
                  <c:pt idx="12">
                    <c:v>Facebook</c:v>
                  </c:pt>
                  <c:pt idx="13">
                    <c:v>Instagram</c:v>
                  </c:pt>
                  <c:pt idx="14">
                    <c:v>YouTube</c:v>
                  </c:pt>
                  <c:pt idx="15">
                    <c:v>Twitter</c:v>
                  </c:pt>
                  <c:pt idx="16">
                    <c:v>Facebook</c:v>
                  </c:pt>
                  <c:pt idx="17">
                    <c:v>Instagram</c:v>
                  </c:pt>
                  <c:pt idx="18">
                    <c:v>Twitter</c:v>
                  </c:pt>
                  <c:pt idx="19">
                    <c:v>YouTube</c:v>
                  </c:pt>
                  <c:pt idx="20">
                    <c:v>Twitter</c:v>
                  </c:pt>
                  <c:pt idx="21">
                    <c:v>Facebook</c:v>
                  </c:pt>
                  <c:pt idx="22">
                    <c:v>Instagram</c:v>
                  </c:pt>
                  <c:pt idx="23">
                    <c:v>YouTube</c:v>
                  </c:pt>
                  <c:pt idx="24">
                    <c:v>Instagram</c:v>
                  </c:pt>
                  <c:pt idx="25">
                    <c:v>Twitter</c:v>
                  </c:pt>
                  <c:pt idx="26">
                    <c:v>YouTube</c:v>
                  </c:pt>
                  <c:pt idx="27">
                    <c:v>Facebook</c:v>
                  </c:pt>
                  <c:pt idx="28">
                    <c:v>Twitter</c:v>
                  </c:pt>
                  <c:pt idx="29">
                    <c:v>Instagram</c:v>
                  </c:pt>
                  <c:pt idx="30">
                    <c:v>YouTube</c:v>
                  </c:pt>
                  <c:pt idx="31">
                    <c:v>Facebook</c:v>
                  </c:pt>
                  <c:pt idx="32">
                    <c:v>Instagram</c:v>
                  </c:pt>
                  <c:pt idx="33">
                    <c:v>Facebook</c:v>
                  </c:pt>
                  <c:pt idx="34">
                    <c:v>YouTube</c:v>
                  </c:pt>
                  <c:pt idx="35">
                    <c:v>Twitter</c:v>
                  </c:pt>
                  <c:pt idx="36">
                    <c:v>Twitter</c:v>
                  </c:pt>
                  <c:pt idx="37">
                    <c:v>YouTube</c:v>
                  </c:pt>
                  <c:pt idx="38">
                    <c:v>Instagram</c:v>
                  </c:pt>
                  <c:pt idx="39">
                    <c:v>Facebook</c:v>
                  </c:pt>
                  <c:pt idx="40">
                    <c:v>YouTube</c:v>
                  </c:pt>
                  <c:pt idx="41">
                    <c:v>Facebook</c:v>
                  </c:pt>
                  <c:pt idx="42">
                    <c:v>Twitter</c:v>
                  </c:pt>
                  <c:pt idx="43">
                    <c:v>Instagram</c:v>
                  </c:pt>
                  <c:pt idx="44">
                    <c:v>YouTube</c:v>
                  </c:pt>
                  <c:pt idx="45">
                    <c:v>Facebook</c:v>
                  </c:pt>
                  <c:pt idx="46">
                    <c:v>Twitter</c:v>
                  </c:pt>
                  <c:pt idx="47">
                    <c:v>Instagram</c:v>
                  </c:pt>
                  <c:pt idx="48">
                    <c:v>Instagram</c:v>
                  </c:pt>
                  <c:pt idx="49">
                    <c:v>Facebook</c:v>
                  </c:pt>
                  <c:pt idx="50">
                    <c:v>YouTube</c:v>
                  </c:pt>
                  <c:pt idx="51">
                    <c:v>Twitter</c:v>
                  </c:pt>
                  <c:pt idx="52">
                    <c:v>YouTube</c:v>
                  </c:pt>
                  <c:pt idx="53">
                    <c:v>Twitter</c:v>
                  </c:pt>
                  <c:pt idx="54">
                    <c:v>Facebook</c:v>
                  </c:pt>
                  <c:pt idx="55">
                    <c:v>Instagram</c:v>
                  </c:pt>
                  <c:pt idx="56">
                    <c:v>Facebook</c:v>
                  </c:pt>
                  <c:pt idx="57">
                    <c:v>Twitter</c:v>
                  </c:pt>
                  <c:pt idx="58">
                    <c:v>Instagram</c:v>
                  </c:pt>
                  <c:pt idx="59">
                    <c:v>YouTube</c:v>
                  </c:pt>
                  <c:pt idx="60">
                    <c:v>Instagram</c:v>
                  </c:pt>
                  <c:pt idx="61">
                    <c:v>Facebook</c:v>
                  </c:pt>
                  <c:pt idx="62">
                    <c:v>YouTube</c:v>
                  </c:pt>
                  <c:pt idx="63">
                    <c:v>Twitter</c:v>
                  </c:pt>
                  <c:pt idx="64">
                    <c:v>Facebook</c:v>
                  </c:pt>
                  <c:pt idx="65">
                    <c:v>Instagram</c:v>
                  </c:pt>
                  <c:pt idx="66">
                    <c:v>YouTube</c:v>
                  </c:pt>
                  <c:pt idx="67">
                    <c:v>Twitter</c:v>
                  </c:pt>
                  <c:pt idx="68">
                    <c:v>Twitter</c:v>
                  </c:pt>
                  <c:pt idx="69">
                    <c:v>YouTube</c:v>
                  </c:pt>
                  <c:pt idx="70">
                    <c:v>Facebook</c:v>
                  </c:pt>
                  <c:pt idx="71">
                    <c:v>Instagram</c:v>
                  </c:pt>
                  <c:pt idx="72">
                    <c:v>Facebook</c:v>
                  </c:pt>
                  <c:pt idx="73">
                    <c:v>YouTube</c:v>
                  </c:pt>
                  <c:pt idx="74">
                    <c:v>Instagram</c:v>
                  </c:pt>
                  <c:pt idx="75">
                    <c:v>Twitter</c:v>
                  </c:pt>
                  <c:pt idx="76">
                    <c:v>Instagram</c:v>
                  </c:pt>
                  <c:pt idx="77">
                    <c:v>Twitter</c:v>
                  </c:pt>
                  <c:pt idx="78">
                    <c:v>YouTube</c:v>
                  </c:pt>
                  <c:pt idx="79">
                    <c:v>Facebook</c:v>
                  </c:pt>
                  <c:pt idx="80">
                    <c:v>Instagram</c:v>
                  </c:pt>
                  <c:pt idx="81">
                    <c:v>Twitter</c:v>
                  </c:pt>
                  <c:pt idx="82">
                    <c:v>YouTube</c:v>
                  </c:pt>
                  <c:pt idx="83">
                    <c:v>Facebook</c:v>
                  </c:pt>
                  <c:pt idx="84">
                    <c:v>Twitter</c:v>
                  </c:pt>
                  <c:pt idx="85">
                    <c:v>Instagram</c:v>
                  </c:pt>
                  <c:pt idx="86">
                    <c:v>YouTube</c:v>
                  </c:pt>
                  <c:pt idx="87">
                    <c:v>Facebook</c:v>
                  </c:pt>
                  <c:pt idx="88">
                    <c:v>YouTube</c:v>
                  </c:pt>
                  <c:pt idx="89">
                    <c:v>Instagram</c:v>
                  </c:pt>
                  <c:pt idx="90">
                    <c:v>Facebook</c:v>
                  </c:pt>
                  <c:pt idx="91">
                    <c:v>Twitter</c:v>
                  </c:pt>
                  <c:pt idx="92">
                    <c:v>Twitter</c:v>
                  </c:pt>
                  <c:pt idx="93">
                    <c:v>YouTube</c:v>
                  </c:pt>
                  <c:pt idx="94">
                    <c:v>Facebook</c:v>
                  </c:pt>
                  <c:pt idx="95">
                    <c:v>Instagram</c:v>
                  </c:pt>
                  <c:pt idx="96">
                    <c:v>Twitter</c:v>
                  </c:pt>
                  <c:pt idx="97">
                    <c:v>YouTube</c:v>
                  </c:pt>
                  <c:pt idx="98">
                    <c:v>Instagram</c:v>
                  </c:pt>
                  <c:pt idx="99">
                    <c:v>Facebook</c:v>
                  </c:pt>
                  <c:pt idx="100">
                    <c:v>YouTube</c:v>
                  </c:pt>
                  <c:pt idx="101">
                    <c:v>Instagram</c:v>
                  </c:pt>
                  <c:pt idx="102">
                    <c:v>Twitter</c:v>
                  </c:pt>
                  <c:pt idx="103">
                    <c:v>Facebook</c:v>
                  </c:pt>
                  <c:pt idx="104">
                    <c:v>Instagram</c:v>
                  </c:pt>
                  <c:pt idx="105">
                    <c:v>Twitter</c:v>
                  </c:pt>
                  <c:pt idx="106">
                    <c:v>YouTube</c:v>
                  </c:pt>
                  <c:pt idx="107">
                    <c:v>Facebook</c:v>
                  </c:pt>
                  <c:pt idx="108">
                    <c:v>Facebook</c:v>
                  </c:pt>
                  <c:pt idx="109">
                    <c:v>Twitter</c:v>
                  </c:pt>
                  <c:pt idx="110">
                    <c:v>Instagram</c:v>
                  </c:pt>
                  <c:pt idx="111">
                    <c:v>YouTube</c:v>
                  </c:pt>
                  <c:pt idx="112">
                    <c:v>Twitter</c:v>
                  </c:pt>
                  <c:pt idx="113">
                    <c:v>Facebook</c:v>
                  </c:pt>
                  <c:pt idx="114">
                    <c:v>YouTube</c:v>
                  </c:pt>
                  <c:pt idx="115">
                    <c:v>Instagram</c:v>
                  </c:pt>
                  <c:pt idx="116">
                    <c:v>Facebook</c:v>
                  </c:pt>
                  <c:pt idx="117">
                    <c:v>YouTube</c:v>
                  </c:pt>
                  <c:pt idx="118">
                    <c:v>Instagram</c:v>
                  </c:pt>
                  <c:pt idx="119">
                    <c:v>Twitter</c:v>
                  </c:pt>
                  <c:pt idx="120">
                    <c:v>Instagram</c:v>
                  </c:pt>
                  <c:pt idx="121">
                    <c:v>Twitter</c:v>
                  </c:pt>
                  <c:pt idx="122">
                    <c:v>Facebook</c:v>
                  </c:pt>
                  <c:pt idx="123">
                    <c:v>YouTube</c:v>
                  </c:pt>
                  <c:pt idx="124">
                    <c:v>Instagram</c:v>
                  </c:pt>
                  <c:pt idx="125">
                    <c:v>Facebook</c:v>
                  </c:pt>
                  <c:pt idx="126">
                    <c:v>YouTube</c:v>
                  </c:pt>
                  <c:pt idx="127">
                    <c:v>Twitter</c:v>
                  </c:pt>
                  <c:pt idx="128">
                    <c:v>YouTube</c:v>
                  </c:pt>
                  <c:pt idx="129">
                    <c:v>Twitter</c:v>
                  </c:pt>
                  <c:pt idx="130">
                    <c:v>Facebook</c:v>
                  </c:pt>
                  <c:pt idx="131">
                    <c:v>Instagram</c:v>
                  </c:pt>
                  <c:pt idx="132">
                    <c:v>Instagram</c:v>
                  </c:pt>
                  <c:pt idx="133">
                    <c:v>YouTube</c:v>
                  </c:pt>
                  <c:pt idx="134">
                    <c:v>Facebook</c:v>
                  </c:pt>
                  <c:pt idx="135">
                    <c:v>Twitter</c:v>
                  </c:pt>
                  <c:pt idx="136">
                    <c:v>Twitter</c:v>
                  </c:pt>
                  <c:pt idx="137">
                    <c:v>Facebook</c:v>
                  </c:pt>
                  <c:pt idx="138">
                    <c:v>YouTube</c:v>
                  </c:pt>
                  <c:pt idx="139">
                    <c:v>Instagram</c:v>
                  </c:pt>
                  <c:pt idx="140">
                    <c:v>YouTube</c:v>
                  </c:pt>
                  <c:pt idx="141">
                    <c:v>Instagram</c:v>
                  </c:pt>
                  <c:pt idx="142">
                    <c:v>Facebook</c:v>
                  </c:pt>
                  <c:pt idx="143">
                    <c:v>Twitter</c:v>
                  </c:pt>
                  <c:pt idx="144">
                    <c:v>Facebook</c:v>
                  </c:pt>
                  <c:pt idx="145">
                    <c:v>Twitter</c:v>
                  </c:pt>
                  <c:pt idx="146">
                    <c:v>YouTube</c:v>
                  </c:pt>
                  <c:pt idx="147">
                    <c:v>Instagram</c:v>
                  </c:pt>
                  <c:pt idx="148">
                    <c:v>Instagram</c:v>
                  </c:pt>
                  <c:pt idx="149">
                    <c:v>Twitter</c:v>
                  </c:pt>
                  <c:pt idx="150">
                    <c:v>YouTube</c:v>
                  </c:pt>
                  <c:pt idx="151">
                    <c:v>Facebook</c:v>
                  </c:pt>
                  <c:pt idx="152">
                    <c:v>Twitter</c:v>
                  </c:pt>
                  <c:pt idx="153">
                    <c:v>Instagram</c:v>
                  </c:pt>
                  <c:pt idx="154">
                    <c:v>YouTube</c:v>
                  </c:pt>
                  <c:pt idx="155">
                    <c:v>Facebook</c:v>
                  </c:pt>
                  <c:pt idx="156">
                    <c:v>Instagram</c:v>
                  </c:pt>
                  <c:pt idx="157">
                    <c:v>Twitter</c:v>
                  </c:pt>
                  <c:pt idx="158">
                    <c:v>YouTube</c:v>
                  </c:pt>
                  <c:pt idx="159">
                    <c:v>Facebook</c:v>
                  </c:pt>
                  <c:pt idx="160">
                    <c:v>Instagram</c:v>
                  </c:pt>
                  <c:pt idx="161">
                    <c:v>Facebook</c:v>
                  </c:pt>
                  <c:pt idx="162">
                    <c:v>Twitter</c:v>
                  </c:pt>
                  <c:pt idx="163">
                    <c:v>YouTube</c:v>
                  </c:pt>
                  <c:pt idx="164">
                    <c:v>Twitter</c:v>
                  </c:pt>
                  <c:pt idx="165">
                    <c:v>Instagram</c:v>
                  </c:pt>
                  <c:pt idx="166">
                    <c:v>YouTube</c:v>
                  </c:pt>
                  <c:pt idx="167">
                    <c:v>Facebook</c:v>
                  </c:pt>
                  <c:pt idx="168">
                    <c:v>Instagram</c:v>
                  </c:pt>
                  <c:pt idx="169">
                    <c:v>Facebook</c:v>
                  </c:pt>
                  <c:pt idx="170">
                    <c:v>Twitter</c:v>
                  </c:pt>
                  <c:pt idx="171">
                    <c:v>YouTube</c:v>
                  </c:pt>
                  <c:pt idx="172">
                    <c:v>Instagram</c:v>
                  </c:pt>
                  <c:pt idx="173">
                    <c:v>YouTube</c:v>
                  </c:pt>
                  <c:pt idx="174">
                    <c:v>Facebook</c:v>
                  </c:pt>
                  <c:pt idx="175">
                    <c:v>Twitter</c:v>
                  </c:pt>
                  <c:pt idx="176">
                    <c:v>Facebook</c:v>
                  </c:pt>
                  <c:pt idx="177">
                    <c:v>Instagram</c:v>
                  </c:pt>
                  <c:pt idx="178">
                    <c:v>YouTube</c:v>
                  </c:pt>
                  <c:pt idx="179">
                    <c:v>Twitter</c:v>
                  </c:pt>
                  <c:pt idx="180">
                    <c:v>Twitter</c:v>
                  </c:pt>
                  <c:pt idx="181">
                    <c:v>Instagram</c:v>
                  </c:pt>
                  <c:pt idx="182">
                    <c:v>Facebook</c:v>
                  </c:pt>
                  <c:pt idx="183">
                    <c:v>YouTube</c:v>
                  </c:pt>
                  <c:pt idx="184">
                    <c:v>Twitter</c:v>
                  </c:pt>
                  <c:pt idx="185">
                    <c:v>YouTube</c:v>
                  </c:pt>
                  <c:pt idx="186">
                    <c:v>Facebook</c:v>
                  </c:pt>
                  <c:pt idx="187">
                    <c:v>Instagram</c:v>
                  </c:pt>
                  <c:pt idx="188">
                    <c:v>Instagram</c:v>
                  </c:pt>
                  <c:pt idx="189">
                    <c:v>Twitter</c:v>
                  </c:pt>
                  <c:pt idx="190">
                    <c:v>YouTube</c:v>
                  </c:pt>
                  <c:pt idx="191">
                    <c:v>Facebook</c:v>
                  </c:pt>
                  <c:pt idx="192">
                    <c:v>Twitter</c:v>
                  </c:pt>
                  <c:pt idx="193">
                    <c:v>Facebook</c:v>
                  </c:pt>
                  <c:pt idx="194">
                    <c:v>YouTube</c:v>
                  </c:pt>
                  <c:pt idx="195">
                    <c:v>Instagram</c:v>
                  </c:pt>
                  <c:pt idx="196">
                    <c:v>YouTube</c:v>
                  </c:pt>
                  <c:pt idx="197">
                    <c:v>Twitter</c:v>
                  </c:pt>
                  <c:pt idx="198">
                    <c:v>Instagram</c:v>
                  </c:pt>
                  <c:pt idx="199">
                    <c:v>Facebook</c:v>
                  </c:pt>
                </c:lvl>
                <c:lvl>
                  <c:pt idx="0">
                    <c:v>30-12-2024</c:v>
                  </c:pt>
                  <c:pt idx="4">
                    <c:v>10-02-2025</c:v>
                  </c:pt>
                  <c:pt idx="8">
                    <c:v>16-12-2024</c:v>
                  </c:pt>
                  <c:pt idx="12">
                    <c:v>24-02-2025</c:v>
                  </c:pt>
                  <c:pt idx="16">
                    <c:v>02-12-2024</c:v>
                  </c:pt>
                  <c:pt idx="20">
                    <c:v>09-12-2024</c:v>
                  </c:pt>
                  <c:pt idx="24">
                    <c:v>05-05-2025</c:v>
                  </c:pt>
                  <c:pt idx="28">
                    <c:v>04-11-2024</c:v>
                  </c:pt>
                  <c:pt idx="32">
                    <c:v>09-09-2024</c:v>
                  </c:pt>
                  <c:pt idx="36">
                    <c:v>31-03-2025</c:v>
                  </c:pt>
                  <c:pt idx="40">
                    <c:v>17-03-2025</c:v>
                  </c:pt>
                  <c:pt idx="44">
                    <c:v>21-04-2025</c:v>
                  </c:pt>
                  <c:pt idx="48">
                    <c:v>25-11-2024</c:v>
                  </c:pt>
                  <c:pt idx="52">
                    <c:v>23-12-2024</c:v>
                  </c:pt>
                  <c:pt idx="56">
                    <c:v>17-06-2024</c:v>
                  </c:pt>
                  <c:pt idx="60">
                    <c:v>07-10-2024</c:v>
                  </c:pt>
                  <c:pt idx="64">
                    <c:v>12-08-2024</c:v>
                  </c:pt>
                  <c:pt idx="68">
                    <c:v>10-03-2025</c:v>
                  </c:pt>
                  <c:pt idx="72">
                    <c:v>17-02-2025</c:v>
                  </c:pt>
                  <c:pt idx="76">
                    <c:v>20-01-2025</c:v>
                  </c:pt>
                  <c:pt idx="80">
                    <c:v>28-04-2025</c:v>
                  </c:pt>
                  <c:pt idx="84">
                    <c:v>06-01-2025</c:v>
                  </c:pt>
                  <c:pt idx="88">
                    <c:v>03-06-2024</c:v>
                  </c:pt>
                  <c:pt idx="92">
                    <c:v>27-01-2025</c:v>
                  </c:pt>
                  <c:pt idx="96">
                    <c:v>23-09-2024</c:v>
                  </c:pt>
                  <c:pt idx="100">
                    <c:v>30-09-2024</c:v>
                  </c:pt>
                  <c:pt idx="104">
                    <c:v>08-07-2024</c:v>
                  </c:pt>
                  <c:pt idx="108">
                    <c:v>24-06-2024</c:v>
                  </c:pt>
                  <c:pt idx="112">
                    <c:v>19-08-2024</c:v>
                  </c:pt>
                  <c:pt idx="116">
                    <c:v>10-06-2024</c:v>
                  </c:pt>
                  <c:pt idx="120">
                    <c:v>26-08-2024</c:v>
                  </c:pt>
                  <c:pt idx="124">
                    <c:v>02-09-2024</c:v>
                  </c:pt>
                  <c:pt idx="128">
                    <c:v>21-10-2024</c:v>
                  </c:pt>
                  <c:pt idx="132">
                    <c:v>13-01-2025</c:v>
                  </c:pt>
                  <c:pt idx="136">
                    <c:v>22-07-2024</c:v>
                  </c:pt>
                  <c:pt idx="140">
                    <c:v>28-10-2024</c:v>
                  </c:pt>
                  <c:pt idx="144">
                    <c:v>07-04-2025</c:v>
                  </c:pt>
                  <c:pt idx="148">
                    <c:v>03-03-2025</c:v>
                  </c:pt>
                  <c:pt idx="152">
                    <c:v>11-11-2024</c:v>
                  </c:pt>
                  <c:pt idx="156">
                    <c:v>15-07-2024</c:v>
                  </c:pt>
                  <c:pt idx="160">
                    <c:v>03-02-2025</c:v>
                  </c:pt>
                  <c:pt idx="164">
                    <c:v>29-07-2024</c:v>
                  </c:pt>
                  <c:pt idx="168">
                    <c:v>12-05-2025</c:v>
                  </c:pt>
                  <c:pt idx="172">
                    <c:v>14-10-2024</c:v>
                  </c:pt>
                  <c:pt idx="176">
                    <c:v>24-03-2025</c:v>
                  </c:pt>
                  <c:pt idx="180">
                    <c:v>16-09-2024</c:v>
                  </c:pt>
                  <c:pt idx="184">
                    <c:v>01-07-2024</c:v>
                  </c:pt>
                  <c:pt idx="188">
                    <c:v>05-08-2024</c:v>
                  </c:pt>
                  <c:pt idx="192">
                    <c:v>18-11-2024</c:v>
                  </c:pt>
                  <c:pt idx="196">
                    <c:v>14-04-2025</c:v>
                  </c:pt>
                </c:lvl>
              </c:multiLvlStrCache>
            </c:multiLvlStrRef>
          </c:cat>
          <c:val>
            <c:numRef>
              <c:f>'Task 6'!$B$4:$B$253</c:f>
              <c:numCache>
                <c:formatCode>0</c:formatCode>
                <c:ptCount val="200"/>
                <c:pt idx="0">
                  <c:v>1776</c:v>
                </c:pt>
                <c:pt idx="1">
                  <c:v>1765</c:v>
                </c:pt>
                <c:pt idx="2">
                  <c:v>1529</c:v>
                </c:pt>
                <c:pt idx="3">
                  <c:v>1460</c:v>
                </c:pt>
                <c:pt idx="4">
                  <c:v>1723</c:v>
                </c:pt>
                <c:pt idx="5">
                  <c:v>1444</c:v>
                </c:pt>
                <c:pt idx="6">
                  <c:v>1202</c:v>
                </c:pt>
                <c:pt idx="7">
                  <c:v>912</c:v>
                </c:pt>
                <c:pt idx="8">
                  <c:v>1432</c:v>
                </c:pt>
                <c:pt idx="9">
                  <c:v>1377</c:v>
                </c:pt>
                <c:pt idx="10">
                  <c:v>1359</c:v>
                </c:pt>
                <c:pt idx="11">
                  <c:v>876</c:v>
                </c:pt>
                <c:pt idx="12">
                  <c:v>1707</c:v>
                </c:pt>
                <c:pt idx="13">
                  <c:v>1375</c:v>
                </c:pt>
                <c:pt idx="14">
                  <c:v>1016</c:v>
                </c:pt>
                <c:pt idx="15">
                  <c:v>708</c:v>
                </c:pt>
                <c:pt idx="16">
                  <c:v>1706</c:v>
                </c:pt>
                <c:pt idx="17">
                  <c:v>1625</c:v>
                </c:pt>
                <c:pt idx="18">
                  <c:v>1173</c:v>
                </c:pt>
                <c:pt idx="19">
                  <c:v>291</c:v>
                </c:pt>
                <c:pt idx="20">
                  <c:v>1727</c:v>
                </c:pt>
                <c:pt idx="21">
                  <c:v>1373</c:v>
                </c:pt>
                <c:pt idx="22">
                  <c:v>1119</c:v>
                </c:pt>
                <c:pt idx="23">
                  <c:v>573</c:v>
                </c:pt>
                <c:pt idx="24">
                  <c:v>1881</c:v>
                </c:pt>
                <c:pt idx="25">
                  <c:v>1510</c:v>
                </c:pt>
                <c:pt idx="26">
                  <c:v>864</c:v>
                </c:pt>
                <c:pt idx="27">
                  <c:v>339</c:v>
                </c:pt>
                <c:pt idx="28">
                  <c:v>1603</c:v>
                </c:pt>
                <c:pt idx="29">
                  <c:v>1397</c:v>
                </c:pt>
                <c:pt idx="30">
                  <c:v>1044</c:v>
                </c:pt>
                <c:pt idx="31">
                  <c:v>540</c:v>
                </c:pt>
                <c:pt idx="32">
                  <c:v>1572</c:v>
                </c:pt>
                <c:pt idx="33">
                  <c:v>1428</c:v>
                </c:pt>
                <c:pt idx="34">
                  <c:v>1100</c:v>
                </c:pt>
                <c:pt idx="35">
                  <c:v>260</c:v>
                </c:pt>
                <c:pt idx="36">
                  <c:v>1676</c:v>
                </c:pt>
                <c:pt idx="37">
                  <c:v>1467</c:v>
                </c:pt>
                <c:pt idx="38">
                  <c:v>641</c:v>
                </c:pt>
                <c:pt idx="39">
                  <c:v>514</c:v>
                </c:pt>
                <c:pt idx="40">
                  <c:v>1385</c:v>
                </c:pt>
                <c:pt idx="41">
                  <c:v>1116</c:v>
                </c:pt>
                <c:pt idx="42">
                  <c:v>861</c:v>
                </c:pt>
                <c:pt idx="43">
                  <c:v>680</c:v>
                </c:pt>
                <c:pt idx="44">
                  <c:v>1633</c:v>
                </c:pt>
                <c:pt idx="45">
                  <c:v>1045</c:v>
                </c:pt>
                <c:pt idx="46">
                  <c:v>759</c:v>
                </c:pt>
                <c:pt idx="47">
                  <c:v>603</c:v>
                </c:pt>
                <c:pt idx="48">
                  <c:v>1693</c:v>
                </c:pt>
                <c:pt idx="49">
                  <c:v>1332</c:v>
                </c:pt>
                <c:pt idx="50">
                  <c:v>885</c:v>
                </c:pt>
                <c:pt idx="51">
                  <c:v>98</c:v>
                </c:pt>
                <c:pt idx="52">
                  <c:v>1589</c:v>
                </c:pt>
                <c:pt idx="53">
                  <c:v>911</c:v>
                </c:pt>
                <c:pt idx="54">
                  <c:v>730</c:v>
                </c:pt>
                <c:pt idx="55">
                  <c:v>684</c:v>
                </c:pt>
                <c:pt idx="56">
                  <c:v>1382</c:v>
                </c:pt>
                <c:pt idx="57">
                  <c:v>1295</c:v>
                </c:pt>
                <c:pt idx="58">
                  <c:v>893</c:v>
                </c:pt>
                <c:pt idx="59">
                  <c:v>337</c:v>
                </c:pt>
                <c:pt idx="60">
                  <c:v>1872</c:v>
                </c:pt>
                <c:pt idx="61">
                  <c:v>1662</c:v>
                </c:pt>
                <c:pt idx="62">
                  <c:v>118</c:v>
                </c:pt>
                <c:pt idx="63">
                  <c:v>107</c:v>
                </c:pt>
                <c:pt idx="64">
                  <c:v>1334</c:v>
                </c:pt>
                <c:pt idx="65">
                  <c:v>1325</c:v>
                </c:pt>
                <c:pt idx="66">
                  <c:v>1032</c:v>
                </c:pt>
                <c:pt idx="67">
                  <c:v>37</c:v>
                </c:pt>
                <c:pt idx="68">
                  <c:v>1350</c:v>
                </c:pt>
                <c:pt idx="69">
                  <c:v>1242</c:v>
                </c:pt>
                <c:pt idx="70">
                  <c:v>908</c:v>
                </c:pt>
                <c:pt idx="71">
                  <c:v>212</c:v>
                </c:pt>
                <c:pt idx="72">
                  <c:v>1590</c:v>
                </c:pt>
                <c:pt idx="73">
                  <c:v>1175</c:v>
                </c:pt>
                <c:pt idx="74">
                  <c:v>965</c:v>
                </c:pt>
                <c:pt idx="75">
                  <c:v>-37</c:v>
                </c:pt>
                <c:pt idx="76">
                  <c:v>1572</c:v>
                </c:pt>
                <c:pt idx="77">
                  <c:v>891</c:v>
                </c:pt>
                <c:pt idx="78">
                  <c:v>724</c:v>
                </c:pt>
                <c:pt idx="79">
                  <c:v>427</c:v>
                </c:pt>
                <c:pt idx="80">
                  <c:v>1539</c:v>
                </c:pt>
                <c:pt idx="81">
                  <c:v>948</c:v>
                </c:pt>
                <c:pt idx="82">
                  <c:v>637</c:v>
                </c:pt>
                <c:pt idx="83">
                  <c:v>453</c:v>
                </c:pt>
                <c:pt idx="84">
                  <c:v>1188</c:v>
                </c:pt>
                <c:pt idx="85">
                  <c:v>903</c:v>
                </c:pt>
                <c:pt idx="86">
                  <c:v>846</c:v>
                </c:pt>
                <c:pt idx="87">
                  <c:v>620</c:v>
                </c:pt>
                <c:pt idx="88">
                  <c:v>1090</c:v>
                </c:pt>
                <c:pt idx="89">
                  <c:v>1047</c:v>
                </c:pt>
                <c:pt idx="90">
                  <c:v>1002</c:v>
                </c:pt>
                <c:pt idx="91">
                  <c:v>415</c:v>
                </c:pt>
                <c:pt idx="92">
                  <c:v>1426</c:v>
                </c:pt>
                <c:pt idx="93">
                  <c:v>1225</c:v>
                </c:pt>
                <c:pt idx="94">
                  <c:v>898</c:v>
                </c:pt>
                <c:pt idx="95">
                  <c:v>-166</c:v>
                </c:pt>
                <c:pt idx="96">
                  <c:v>1680</c:v>
                </c:pt>
                <c:pt idx="97">
                  <c:v>1006</c:v>
                </c:pt>
                <c:pt idx="98">
                  <c:v>666</c:v>
                </c:pt>
                <c:pt idx="99">
                  <c:v>-19</c:v>
                </c:pt>
                <c:pt idx="100">
                  <c:v>1706</c:v>
                </c:pt>
                <c:pt idx="101">
                  <c:v>1025</c:v>
                </c:pt>
                <c:pt idx="102">
                  <c:v>599</c:v>
                </c:pt>
                <c:pt idx="103">
                  <c:v>-179</c:v>
                </c:pt>
                <c:pt idx="104">
                  <c:v>1672</c:v>
                </c:pt>
                <c:pt idx="105">
                  <c:v>547</c:v>
                </c:pt>
                <c:pt idx="106">
                  <c:v>514</c:v>
                </c:pt>
                <c:pt idx="107">
                  <c:v>309</c:v>
                </c:pt>
                <c:pt idx="108">
                  <c:v>1670</c:v>
                </c:pt>
                <c:pt idx="109">
                  <c:v>835</c:v>
                </c:pt>
                <c:pt idx="110">
                  <c:v>629</c:v>
                </c:pt>
                <c:pt idx="111">
                  <c:v>-123</c:v>
                </c:pt>
                <c:pt idx="112">
                  <c:v>1665</c:v>
                </c:pt>
                <c:pt idx="113">
                  <c:v>1058</c:v>
                </c:pt>
                <c:pt idx="114">
                  <c:v>190</c:v>
                </c:pt>
                <c:pt idx="115">
                  <c:v>76</c:v>
                </c:pt>
                <c:pt idx="116">
                  <c:v>1283</c:v>
                </c:pt>
                <c:pt idx="117">
                  <c:v>994</c:v>
                </c:pt>
                <c:pt idx="118">
                  <c:v>517</c:v>
                </c:pt>
                <c:pt idx="119">
                  <c:v>186</c:v>
                </c:pt>
                <c:pt idx="120">
                  <c:v>1609</c:v>
                </c:pt>
                <c:pt idx="121">
                  <c:v>1229</c:v>
                </c:pt>
                <c:pt idx="122">
                  <c:v>37</c:v>
                </c:pt>
                <c:pt idx="123">
                  <c:v>28</c:v>
                </c:pt>
                <c:pt idx="124">
                  <c:v>1247</c:v>
                </c:pt>
                <c:pt idx="125">
                  <c:v>1045</c:v>
                </c:pt>
                <c:pt idx="126">
                  <c:v>333</c:v>
                </c:pt>
                <c:pt idx="127">
                  <c:v>197</c:v>
                </c:pt>
                <c:pt idx="128">
                  <c:v>1484</c:v>
                </c:pt>
                <c:pt idx="129">
                  <c:v>636</c:v>
                </c:pt>
                <c:pt idx="130">
                  <c:v>439</c:v>
                </c:pt>
                <c:pt idx="131">
                  <c:v>262</c:v>
                </c:pt>
                <c:pt idx="132">
                  <c:v>1722</c:v>
                </c:pt>
                <c:pt idx="133">
                  <c:v>901</c:v>
                </c:pt>
                <c:pt idx="134">
                  <c:v>298</c:v>
                </c:pt>
                <c:pt idx="135">
                  <c:v>-144</c:v>
                </c:pt>
                <c:pt idx="136">
                  <c:v>1316</c:v>
                </c:pt>
                <c:pt idx="137">
                  <c:v>961</c:v>
                </c:pt>
                <c:pt idx="138">
                  <c:v>317</c:v>
                </c:pt>
                <c:pt idx="139">
                  <c:v>159</c:v>
                </c:pt>
                <c:pt idx="140">
                  <c:v>1657</c:v>
                </c:pt>
                <c:pt idx="141">
                  <c:v>576</c:v>
                </c:pt>
                <c:pt idx="142">
                  <c:v>386</c:v>
                </c:pt>
                <c:pt idx="143">
                  <c:v>37</c:v>
                </c:pt>
                <c:pt idx="144">
                  <c:v>1029</c:v>
                </c:pt>
                <c:pt idx="145">
                  <c:v>1007</c:v>
                </c:pt>
                <c:pt idx="146">
                  <c:v>209</c:v>
                </c:pt>
                <c:pt idx="147">
                  <c:v>167</c:v>
                </c:pt>
                <c:pt idx="148">
                  <c:v>1315</c:v>
                </c:pt>
                <c:pt idx="149">
                  <c:v>899</c:v>
                </c:pt>
                <c:pt idx="150">
                  <c:v>315</c:v>
                </c:pt>
                <c:pt idx="151">
                  <c:v>-119</c:v>
                </c:pt>
                <c:pt idx="152">
                  <c:v>1150</c:v>
                </c:pt>
                <c:pt idx="153">
                  <c:v>902</c:v>
                </c:pt>
                <c:pt idx="154">
                  <c:v>349</c:v>
                </c:pt>
                <c:pt idx="155">
                  <c:v>-106</c:v>
                </c:pt>
                <c:pt idx="156">
                  <c:v>1845</c:v>
                </c:pt>
                <c:pt idx="157">
                  <c:v>429</c:v>
                </c:pt>
                <c:pt idx="158">
                  <c:v>160</c:v>
                </c:pt>
                <c:pt idx="159">
                  <c:v>-164</c:v>
                </c:pt>
                <c:pt idx="160">
                  <c:v>1080</c:v>
                </c:pt>
                <c:pt idx="161">
                  <c:v>748</c:v>
                </c:pt>
                <c:pt idx="162">
                  <c:v>569</c:v>
                </c:pt>
                <c:pt idx="163">
                  <c:v>-203</c:v>
                </c:pt>
                <c:pt idx="164">
                  <c:v>1495</c:v>
                </c:pt>
                <c:pt idx="165">
                  <c:v>541</c:v>
                </c:pt>
                <c:pt idx="166">
                  <c:v>475</c:v>
                </c:pt>
                <c:pt idx="167">
                  <c:v>-318</c:v>
                </c:pt>
                <c:pt idx="168">
                  <c:v>1656</c:v>
                </c:pt>
                <c:pt idx="169">
                  <c:v>407</c:v>
                </c:pt>
                <c:pt idx="170">
                  <c:v>269</c:v>
                </c:pt>
                <c:pt idx="171">
                  <c:v>-337</c:v>
                </c:pt>
                <c:pt idx="172">
                  <c:v>1224</c:v>
                </c:pt>
                <c:pt idx="173">
                  <c:v>367</c:v>
                </c:pt>
                <c:pt idx="174">
                  <c:v>285</c:v>
                </c:pt>
                <c:pt idx="175">
                  <c:v>-20</c:v>
                </c:pt>
                <c:pt idx="176">
                  <c:v>474</c:v>
                </c:pt>
                <c:pt idx="177">
                  <c:v>461</c:v>
                </c:pt>
                <c:pt idx="178">
                  <c:v>389</c:v>
                </c:pt>
                <c:pt idx="179">
                  <c:v>292</c:v>
                </c:pt>
                <c:pt idx="180">
                  <c:v>1125</c:v>
                </c:pt>
                <c:pt idx="181">
                  <c:v>377</c:v>
                </c:pt>
                <c:pt idx="182">
                  <c:v>98</c:v>
                </c:pt>
                <c:pt idx="183">
                  <c:v>-32</c:v>
                </c:pt>
                <c:pt idx="184">
                  <c:v>1357</c:v>
                </c:pt>
                <c:pt idx="185">
                  <c:v>91</c:v>
                </c:pt>
                <c:pt idx="186">
                  <c:v>64</c:v>
                </c:pt>
                <c:pt idx="187">
                  <c:v>-219</c:v>
                </c:pt>
                <c:pt idx="188">
                  <c:v>352</c:v>
                </c:pt>
                <c:pt idx="189">
                  <c:v>328</c:v>
                </c:pt>
                <c:pt idx="190">
                  <c:v>319</c:v>
                </c:pt>
                <c:pt idx="191">
                  <c:v>-197</c:v>
                </c:pt>
                <c:pt idx="192">
                  <c:v>445</c:v>
                </c:pt>
                <c:pt idx="193">
                  <c:v>72</c:v>
                </c:pt>
                <c:pt idx="194">
                  <c:v>60</c:v>
                </c:pt>
                <c:pt idx="195">
                  <c:v>-49</c:v>
                </c:pt>
                <c:pt idx="196">
                  <c:v>145</c:v>
                </c:pt>
                <c:pt idx="197">
                  <c:v>53</c:v>
                </c:pt>
                <c:pt idx="198">
                  <c:v>-160</c:v>
                </c:pt>
                <c:pt idx="199">
                  <c:v>-175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83-4E5A-80A6-FEEF8C2CC0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2440559"/>
        <c:axId val="1562454959"/>
      </c:lineChart>
      <c:catAx>
        <c:axId val="1562440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2454959"/>
        <c:crosses val="autoZero"/>
        <c:auto val="1"/>
        <c:lblAlgn val="ctr"/>
        <c:lblOffset val="100"/>
        <c:noMultiLvlLbl val="0"/>
      </c:catAx>
      <c:valAx>
        <c:axId val="1562454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2440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6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Correlate</a:t>
            </a:r>
            <a:r>
              <a:rPr lang="en-US" sz="1600" b="1" baseline="0"/>
              <a:t> of Ad Spend Vs Follower Gain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50837448285066"/>
          <c:y val="0.1639879317410905"/>
          <c:w val="0.84586351706036744"/>
          <c:h val="0.72056300470428414"/>
        </c:manualLayout>
      </c:layout>
      <c:scatterChart>
        <c:scatterStyle val="lineMarker"/>
        <c:varyColors val="0"/>
        <c:ser>
          <c:idx val="0"/>
          <c:order val="0"/>
          <c:tx>
            <c:strRef>
              <c:f>'Engagement Summary'!$H$1</c:f>
              <c:strCache>
                <c:ptCount val="1"/>
                <c:pt idx="0">
                  <c:v>Net Growth Followers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4405806530539614"/>
                  <c:y val="-0.3176518270679423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8.4585891276302325E-2"/>
                  <c:y val="-0.3638002118744741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'Engagement Summary'!$G$2:$G$201</c:f>
              <c:numCache>
                <c:formatCode>General</c:formatCode>
                <c:ptCount val="200"/>
                <c:pt idx="0">
                  <c:v>5904</c:v>
                </c:pt>
                <c:pt idx="1">
                  <c:v>9566</c:v>
                </c:pt>
                <c:pt idx="2">
                  <c:v>26752</c:v>
                </c:pt>
                <c:pt idx="3">
                  <c:v>30671</c:v>
                </c:pt>
                <c:pt idx="4">
                  <c:v>9920</c:v>
                </c:pt>
                <c:pt idx="5">
                  <c:v>7924</c:v>
                </c:pt>
                <c:pt idx="6">
                  <c:v>8912</c:v>
                </c:pt>
                <c:pt idx="7">
                  <c:v>21205</c:v>
                </c:pt>
                <c:pt idx="8">
                  <c:v>11329</c:v>
                </c:pt>
                <c:pt idx="9">
                  <c:v>46670</c:v>
                </c:pt>
                <c:pt idx="10">
                  <c:v>22482</c:v>
                </c:pt>
                <c:pt idx="11">
                  <c:v>24313</c:v>
                </c:pt>
                <c:pt idx="12">
                  <c:v>18050</c:v>
                </c:pt>
                <c:pt idx="13">
                  <c:v>30635</c:v>
                </c:pt>
                <c:pt idx="14">
                  <c:v>31280</c:v>
                </c:pt>
                <c:pt idx="15">
                  <c:v>1783</c:v>
                </c:pt>
                <c:pt idx="16">
                  <c:v>9566</c:v>
                </c:pt>
                <c:pt idx="17">
                  <c:v>42307</c:v>
                </c:pt>
                <c:pt idx="18">
                  <c:v>5914</c:v>
                </c:pt>
                <c:pt idx="19">
                  <c:v>30060</c:v>
                </c:pt>
                <c:pt idx="20">
                  <c:v>22728</c:v>
                </c:pt>
                <c:pt idx="21">
                  <c:v>38610</c:v>
                </c:pt>
                <c:pt idx="22">
                  <c:v>2932</c:v>
                </c:pt>
                <c:pt idx="23">
                  <c:v>15071</c:v>
                </c:pt>
                <c:pt idx="24">
                  <c:v>10740</c:v>
                </c:pt>
                <c:pt idx="25">
                  <c:v>43420</c:v>
                </c:pt>
                <c:pt idx="26">
                  <c:v>32393</c:v>
                </c:pt>
                <c:pt idx="27">
                  <c:v>28474</c:v>
                </c:pt>
                <c:pt idx="28">
                  <c:v>17328</c:v>
                </c:pt>
                <c:pt idx="29">
                  <c:v>26067</c:v>
                </c:pt>
                <c:pt idx="30">
                  <c:v>32763</c:v>
                </c:pt>
                <c:pt idx="31">
                  <c:v>26452</c:v>
                </c:pt>
                <c:pt idx="32">
                  <c:v>15353</c:v>
                </c:pt>
                <c:pt idx="33">
                  <c:v>4839</c:v>
                </c:pt>
                <c:pt idx="34">
                  <c:v>39272</c:v>
                </c:pt>
                <c:pt idx="35">
                  <c:v>16804</c:v>
                </c:pt>
                <c:pt idx="36">
                  <c:v>49303</c:v>
                </c:pt>
                <c:pt idx="37">
                  <c:v>26455</c:v>
                </c:pt>
                <c:pt idx="38">
                  <c:v>12384</c:v>
                </c:pt>
                <c:pt idx="39">
                  <c:v>49372</c:v>
                </c:pt>
                <c:pt idx="40">
                  <c:v>47101</c:v>
                </c:pt>
                <c:pt idx="41">
                  <c:v>37903</c:v>
                </c:pt>
                <c:pt idx="42">
                  <c:v>33258</c:v>
                </c:pt>
                <c:pt idx="43">
                  <c:v>6915</c:v>
                </c:pt>
                <c:pt idx="44">
                  <c:v>35501</c:v>
                </c:pt>
                <c:pt idx="45">
                  <c:v>14203</c:v>
                </c:pt>
                <c:pt idx="46">
                  <c:v>22206</c:v>
                </c:pt>
                <c:pt idx="47">
                  <c:v>10283</c:v>
                </c:pt>
                <c:pt idx="48">
                  <c:v>24913</c:v>
                </c:pt>
                <c:pt idx="49">
                  <c:v>26925</c:v>
                </c:pt>
                <c:pt idx="50">
                  <c:v>9942</c:v>
                </c:pt>
                <c:pt idx="51">
                  <c:v>32929</c:v>
                </c:pt>
                <c:pt idx="52">
                  <c:v>37829</c:v>
                </c:pt>
                <c:pt idx="53">
                  <c:v>24384</c:v>
                </c:pt>
                <c:pt idx="54">
                  <c:v>25797</c:v>
                </c:pt>
                <c:pt idx="55">
                  <c:v>12646</c:v>
                </c:pt>
                <c:pt idx="56">
                  <c:v>26663</c:v>
                </c:pt>
                <c:pt idx="57">
                  <c:v>40478</c:v>
                </c:pt>
                <c:pt idx="58">
                  <c:v>15476</c:v>
                </c:pt>
                <c:pt idx="59">
                  <c:v>10217</c:v>
                </c:pt>
                <c:pt idx="60">
                  <c:v>21939</c:v>
                </c:pt>
                <c:pt idx="61">
                  <c:v>47462</c:v>
                </c:pt>
                <c:pt idx="62">
                  <c:v>30270</c:v>
                </c:pt>
                <c:pt idx="63">
                  <c:v>5442</c:v>
                </c:pt>
                <c:pt idx="64">
                  <c:v>1083</c:v>
                </c:pt>
                <c:pt idx="65">
                  <c:v>11901</c:v>
                </c:pt>
                <c:pt idx="66">
                  <c:v>24018</c:v>
                </c:pt>
                <c:pt idx="67">
                  <c:v>38883</c:v>
                </c:pt>
                <c:pt idx="68">
                  <c:v>30575</c:v>
                </c:pt>
                <c:pt idx="69">
                  <c:v>2315</c:v>
                </c:pt>
                <c:pt idx="70">
                  <c:v>12148</c:v>
                </c:pt>
                <c:pt idx="71">
                  <c:v>36851</c:v>
                </c:pt>
                <c:pt idx="72">
                  <c:v>41215</c:v>
                </c:pt>
                <c:pt idx="73">
                  <c:v>43836</c:v>
                </c:pt>
                <c:pt idx="74">
                  <c:v>4509</c:v>
                </c:pt>
                <c:pt idx="75">
                  <c:v>27822</c:v>
                </c:pt>
                <c:pt idx="76">
                  <c:v>36397</c:v>
                </c:pt>
                <c:pt idx="77">
                  <c:v>7285</c:v>
                </c:pt>
                <c:pt idx="78">
                  <c:v>33174</c:v>
                </c:pt>
                <c:pt idx="79">
                  <c:v>6742</c:v>
                </c:pt>
                <c:pt idx="80">
                  <c:v>32478</c:v>
                </c:pt>
                <c:pt idx="81">
                  <c:v>42824</c:v>
                </c:pt>
                <c:pt idx="82">
                  <c:v>21208</c:v>
                </c:pt>
                <c:pt idx="83">
                  <c:v>44321</c:v>
                </c:pt>
                <c:pt idx="84">
                  <c:v>13116</c:v>
                </c:pt>
                <c:pt idx="85">
                  <c:v>30214</c:v>
                </c:pt>
                <c:pt idx="86">
                  <c:v>15827</c:v>
                </c:pt>
                <c:pt idx="87">
                  <c:v>46643</c:v>
                </c:pt>
                <c:pt idx="88">
                  <c:v>36484</c:v>
                </c:pt>
                <c:pt idx="89">
                  <c:v>4996</c:v>
                </c:pt>
                <c:pt idx="90">
                  <c:v>36095</c:v>
                </c:pt>
                <c:pt idx="91">
                  <c:v>16443</c:v>
                </c:pt>
                <c:pt idx="92">
                  <c:v>47812</c:v>
                </c:pt>
                <c:pt idx="93">
                  <c:v>38452</c:v>
                </c:pt>
                <c:pt idx="94">
                  <c:v>30428</c:v>
                </c:pt>
                <c:pt idx="95">
                  <c:v>9269</c:v>
                </c:pt>
                <c:pt idx="96">
                  <c:v>29533</c:v>
                </c:pt>
                <c:pt idx="97">
                  <c:v>39997</c:v>
                </c:pt>
                <c:pt idx="98">
                  <c:v>5391</c:v>
                </c:pt>
                <c:pt idx="99">
                  <c:v>22373</c:v>
                </c:pt>
                <c:pt idx="100">
                  <c:v>1810</c:v>
                </c:pt>
                <c:pt idx="101">
                  <c:v>28498</c:v>
                </c:pt>
                <c:pt idx="102">
                  <c:v>39530</c:v>
                </c:pt>
                <c:pt idx="103">
                  <c:v>37876</c:v>
                </c:pt>
                <c:pt idx="104">
                  <c:v>36103</c:v>
                </c:pt>
                <c:pt idx="105">
                  <c:v>26103</c:v>
                </c:pt>
                <c:pt idx="106">
                  <c:v>3455</c:v>
                </c:pt>
                <c:pt idx="107">
                  <c:v>40888</c:v>
                </c:pt>
                <c:pt idx="108">
                  <c:v>22724</c:v>
                </c:pt>
                <c:pt idx="109">
                  <c:v>18601</c:v>
                </c:pt>
                <c:pt idx="110">
                  <c:v>20861</c:v>
                </c:pt>
                <c:pt idx="111">
                  <c:v>46625</c:v>
                </c:pt>
                <c:pt idx="112">
                  <c:v>20692</c:v>
                </c:pt>
                <c:pt idx="113">
                  <c:v>18656</c:v>
                </c:pt>
                <c:pt idx="114">
                  <c:v>13316</c:v>
                </c:pt>
                <c:pt idx="115">
                  <c:v>49558</c:v>
                </c:pt>
                <c:pt idx="116">
                  <c:v>4683</c:v>
                </c:pt>
                <c:pt idx="117">
                  <c:v>47502</c:v>
                </c:pt>
                <c:pt idx="118">
                  <c:v>35359</c:v>
                </c:pt>
                <c:pt idx="119">
                  <c:v>14154</c:v>
                </c:pt>
                <c:pt idx="120">
                  <c:v>4313</c:v>
                </c:pt>
                <c:pt idx="121">
                  <c:v>25140</c:v>
                </c:pt>
                <c:pt idx="122">
                  <c:v>9118</c:v>
                </c:pt>
                <c:pt idx="123">
                  <c:v>39931</c:v>
                </c:pt>
                <c:pt idx="124">
                  <c:v>37132</c:v>
                </c:pt>
                <c:pt idx="125">
                  <c:v>17951</c:v>
                </c:pt>
                <c:pt idx="126">
                  <c:v>2798</c:v>
                </c:pt>
                <c:pt idx="127">
                  <c:v>15045</c:v>
                </c:pt>
                <c:pt idx="128">
                  <c:v>14548</c:v>
                </c:pt>
                <c:pt idx="129">
                  <c:v>45708</c:v>
                </c:pt>
                <c:pt idx="130">
                  <c:v>12350</c:v>
                </c:pt>
                <c:pt idx="131">
                  <c:v>40868</c:v>
                </c:pt>
                <c:pt idx="132">
                  <c:v>43122</c:v>
                </c:pt>
                <c:pt idx="133">
                  <c:v>23853</c:v>
                </c:pt>
                <c:pt idx="134">
                  <c:v>45380</c:v>
                </c:pt>
                <c:pt idx="135">
                  <c:v>7705</c:v>
                </c:pt>
                <c:pt idx="136">
                  <c:v>25525</c:v>
                </c:pt>
                <c:pt idx="137">
                  <c:v>20560</c:v>
                </c:pt>
                <c:pt idx="138">
                  <c:v>19119</c:v>
                </c:pt>
                <c:pt idx="139">
                  <c:v>43999</c:v>
                </c:pt>
                <c:pt idx="140">
                  <c:v>10825</c:v>
                </c:pt>
                <c:pt idx="141">
                  <c:v>40323</c:v>
                </c:pt>
                <c:pt idx="142">
                  <c:v>48270</c:v>
                </c:pt>
                <c:pt idx="143">
                  <c:v>18001</c:v>
                </c:pt>
                <c:pt idx="144">
                  <c:v>3314</c:v>
                </c:pt>
                <c:pt idx="145">
                  <c:v>23489</c:v>
                </c:pt>
                <c:pt idx="146">
                  <c:v>42832</c:v>
                </c:pt>
                <c:pt idx="147">
                  <c:v>24494</c:v>
                </c:pt>
                <c:pt idx="148">
                  <c:v>44097</c:v>
                </c:pt>
                <c:pt idx="149">
                  <c:v>31853</c:v>
                </c:pt>
                <c:pt idx="150">
                  <c:v>37636</c:v>
                </c:pt>
                <c:pt idx="151">
                  <c:v>22996</c:v>
                </c:pt>
                <c:pt idx="152">
                  <c:v>49772</c:v>
                </c:pt>
                <c:pt idx="153">
                  <c:v>22713</c:v>
                </c:pt>
                <c:pt idx="154">
                  <c:v>8718</c:v>
                </c:pt>
                <c:pt idx="155">
                  <c:v>39031</c:v>
                </c:pt>
                <c:pt idx="156">
                  <c:v>33799</c:v>
                </c:pt>
                <c:pt idx="157">
                  <c:v>20553</c:v>
                </c:pt>
                <c:pt idx="158">
                  <c:v>10002</c:v>
                </c:pt>
                <c:pt idx="159">
                  <c:v>30987</c:v>
                </c:pt>
                <c:pt idx="160">
                  <c:v>6296</c:v>
                </c:pt>
                <c:pt idx="161">
                  <c:v>21539</c:v>
                </c:pt>
                <c:pt idx="162">
                  <c:v>14722</c:v>
                </c:pt>
                <c:pt idx="163">
                  <c:v>11383</c:v>
                </c:pt>
                <c:pt idx="164">
                  <c:v>9480</c:v>
                </c:pt>
                <c:pt idx="165">
                  <c:v>29116</c:v>
                </c:pt>
                <c:pt idx="166">
                  <c:v>14068</c:v>
                </c:pt>
                <c:pt idx="167">
                  <c:v>35801</c:v>
                </c:pt>
                <c:pt idx="168">
                  <c:v>49077</c:v>
                </c:pt>
                <c:pt idx="169">
                  <c:v>21453</c:v>
                </c:pt>
                <c:pt idx="170">
                  <c:v>21061</c:v>
                </c:pt>
                <c:pt idx="171">
                  <c:v>20059</c:v>
                </c:pt>
                <c:pt idx="172">
                  <c:v>23140</c:v>
                </c:pt>
                <c:pt idx="173">
                  <c:v>23461</c:v>
                </c:pt>
                <c:pt idx="174">
                  <c:v>11805</c:v>
                </c:pt>
                <c:pt idx="175">
                  <c:v>15969</c:v>
                </c:pt>
                <c:pt idx="176">
                  <c:v>2436</c:v>
                </c:pt>
                <c:pt idx="177">
                  <c:v>47603</c:v>
                </c:pt>
                <c:pt idx="178">
                  <c:v>42964</c:v>
                </c:pt>
                <c:pt idx="179">
                  <c:v>39923</c:v>
                </c:pt>
                <c:pt idx="180">
                  <c:v>2293</c:v>
                </c:pt>
                <c:pt idx="181">
                  <c:v>25920</c:v>
                </c:pt>
                <c:pt idx="182">
                  <c:v>11035</c:v>
                </c:pt>
                <c:pt idx="183">
                  <c:v>20733</c:v>
                </c:pt>
                <c:pt idx="184">
                  <c:v>18693</c:v>
                </c:pt>
                <c:pt idx="185">
                  <c:v>7875</c:v>
                </c:pt>
                <c:pt idx="186">
                  <c:v>8471</c:v>
                </c:pt>
                <c:pt idx="187">
                  <c:v>14090</c:v>
                </c:pt>
                <c:pt idx="188">
                  <c:v>14216</c:v>
                </c:pt>
                <c:pt idx="189">
                  <c:v>3582</c:v>
                </c:pt>
                <c:pt idx="190">
                  <c:v>32500</c:v>
                </c:pt>
                <c:pt idx="191">
                  <c:v>6832</c:v>
                </c:pt>
                <c:pt idx="192">
                  <c:v>33381</c:v>
                </c:pt>
                <c:pt idx="193">
                  <c:v>48419</c:v>
                </c:pt>
                <c:pt idx="194">
                  <c:v>16149</c:v>
                </c:pt>
                <c:pt idx="195">
                  <c:v>7541</c:v>
                </c:pt>
                <c:pt idx="196">
                  <c:v>20042</c:v>
                </c:pt>
                <c:pt idx="197">
                  <c:v>49400</c:v>
                </c:pt>
                <c:pt idx="198">
                  <c:v>4007</c:v>
                </c:pt>
                <c:pt idx="199">
                  <c:v>12174</c:v>
                </c:pt>
              </c:numCache>
            </c:numRef>
          </c:xVal>
          <c:yVal>
            <c:numRef>
              <c:f>'Engagement Summary'!$H$2:$H$201</c:f>
              <c:numCache>
                <c:formatCode>0</c:formatCode>
                <c:ptCount val="200"/>
                <c:pt idx="0">
                  <c:v>1047</c:v>
                </c:pt>
                <c:pt idx="1">
                  <c:v>1002</c:v>
                </c:pt>
                <c:pt idx="2">
                  <c:v>415</c:v>
                </c:pt>
                <c:pt idx="3">
                  <c:v>1090</c:v>
                </c:pt>
                <c:pt idx="4">
                  <c:v>517</c:v>
                </c:pt>
                <c:pt idx="5">
                  <c:v>1283</c:v>
                </c:pt>
                <c:pt idx="6">
                  <c:v>186</c:v>
                </c:pt>
                <c:pt idx="7">
                  <c:v>994</c:v>
                </c:pt>
                <c:pt idx="8">
                  <c:v>893</c:v>
                </c:pt>
                <c:pt idx="9">
                  <c:v>1382</c:v>
                </c:pt>
                <c:pt idx="10">
                  <c:v>1295</c:v>
                </c:pt>
                <c:pt idx="11">
                  <c:v>337</c:v>
                </c:pt>
                <c:pt idx="12">
                  <c:v>629</c:v>
                </c:pt>
                <c:pt idx="13">
                  <c:v>1670</c:v>
                </c:pt>
                <c:pt idx="14">
                  <c:v>835</c:v>
                </c:pt>
                <c:pt idx="15">
                  <c:v>-123</c:v>
                </c:pt>
                <c:pt idx="16">
                  <c:v>-219</c:v>
                </c:pt>
                <c:pt idx="17">
                  <c:v>64</c:v>
                </c:pt>
                <c:pt idx="18">
                  <c:v>1357</c:v>
                </c:pt>
                <c:pt idx="19">
                  <c:v>91</c:v>
                </c:pt>
                <c:pt idx="20">
                  <c:v>1672</c:v>
                </c:pt>
                <c:pt idx="21">
                  <c:v>309</c:v>
                </c:pt>
                <c:pt idx="22">
                  <c:v>547</c:v>
                </c:pt>
                <c:pt idx="23">
                  <c:v>514</c:v>
                </c:pt>
                <c:pt idx="24">
                  <c:v>1845</c:v>
                </c:pt>
                <c:pt idx="25">
                  <c:v>-164</c:v>
                </c:pt>
                <c:pt idx="26">
                  <c:v>429</c:v>
                </c:pt>
                <c:pt idx="27">
                  <c:v>160</c:v>
                </c:pt>
                <c:pt idx="28">
                  <c:v>159</c:v>
                </c:pt>
                <c:pt idx="29">
                  <c:v>961</c:v>
                </c:pt>
                <c:pt idx="30">
                  <c:v>1316</c:v>
                </c:pt>
                <c:pt idx="31">
                  <c:v>317</c:v>
                </c:pt>
                <c:pt idx="32">
                  <c:v>541</c:v>
                </c:pt>
                <c:pt idx="33">
                  <c:v>-318</c:v>
                </c:pt>
                <c:pt idx="34">
                  <c:v>1495</c:v>
                </c:pt>
                <c:pt idx="35">
                  <c:v>475</c:v>
                </c:pt>
                <c:pt idx="36">
                  <c:v>352</c:v>
                </c:pt>
                <c:pt idx="37">
                  <c:v>-197</c:v>
                </c:pt>
                <c:pt idx="38">
                  <c:v>328</c:v>
                </c:pt>
                <c:pt idx="39">
                  <c:v>319</c:v>
                </c:pt>
                <c:pt idx="40">
                  <c:v>1325</c:v>
                </c:pt>
                <c:pt idx="41">
                  <c:v>1334</c:v>
                </c:pt>
                <c:pt idx="42">
                  <c:v>37</c:v>
                </c:pt>
                <c:pt idx="43">
                  <c:v>1032</c:v>
                </c:pt>
                <c:pt idx="44">
                  <c:v>76</c:v>
                </c:pt>
                <c:pt idx="45">
                  <c:v>1058</c:v>
                </c:pt>
                <c:pt idx="46">
                  <c:v>1665</c:v>
                </c:pt>
                <c:pt idx="47">
                  <c:v>190</c:v>
                </c:pt>
                <c:pt idx="48">
                  <c:v>1609</c:v>
                </c:pt>
                <c:pt idx="49">
                  <c:v>37</c:v>
                </c:pt>
                <c:pt idx="50">
                  <c:v>1229</c:v>
                </c:pt>
                <c:pt idx="51">
                  <c:v>28</c:v>
                </c:pt>
                <c:pt idx="52">
                  <c:v>1247</c:v>
                </c:pt>
                <c:pt idx="53">
                  <c:v>1045</c:v>
                </c:pt>
                <c:pt idx="54">
                  <c:v>197</c:v>
                </c:pt>
                <c:pt idx="55">
                  <c:v>333</c:v>
                </c:pt>
                <c:pt idx="56">
                  <c:v>1572</c:v>
                </c:pt>
                <c:pt idx="57">
                  <c:v>1428</c:v>
                </c:pt>
                <c:pt idx="58">
                  <c:v>260</c:v>
                </c:pt>
                <c:pt idx="59">
                  <c:v>1100</c:v>
                </c:pt>
                <c:pt idx="60">
                  <c:v>377</c:v>
                </c:pt>
                <c:pt idx="61">
                  <c:v>98</c:v>
                </c:pt>
                <c:pt idx="62">
                  <c:v>1125</c:v>
                </c:pt>
                <c:pt idx="63">
                  <c:v>-32</c:v>
                </c:pt>
                <c:pt idx="64">
                  <c:v>666</c:v>
                </c:pt>
                <c:pt idx="65">
                  <c:v>-19</c:v>
                </c:pt>
                <c:pt idx="66">
                  <c:v>1680</c:v>
                </c:pt>
                <c:pt idx="67">
                  <c:v>1006</c:v>
                </c:pt>
                <c:pt idx="68">
                  <c:v>1025</c:v>
                </c:pt>
                <c:pt idx="69">
                  <c:v>-179</c:v>
                </c:pt>
                <c:pt idx="70">
                  <c:v>599</c:v>
                </c:pt>
                <c:pt idx="71">
                  <c:v>1706</c:v>
                </c:pt>
                <c:pt idx="72">
                  <c:v>1872</c:v>
                </c:pt>
                <c:pt idx="73">
                  <c:v>1662</c:v>
                </c:pt>
                <c:pt idx="74">
                  <c:v>107</c:v>
                </c:pt>
                <c:pt idx="75">
                  <c:v>118</c:v>
                </c:pt>
                <c:pt idx="76">
                  <c:v>1224</c:v>
                </c:pt>
                <c:pt idx="77">
                  <c:v>285</c:v>
                </c:pt>
                <c:pt idx="78">
                  <c:v>-20</c:v>
                </c:pt>
                <c:pt idx="79">
                  <c:v>367</c:v>
                </c:pt>
                <c:pt idx="80">
                  <c:v>262</c:v>
                </c:pt>
                <c:pt idx="81">
                  <c:v>439</c:v>
                </c:pt>
                <c:pt idx="82">
                  <c:v>636</c:v>
                </c:pt>
                <c:pt idx="83">
                  <c:v>1484</c:v>
                </c:pt>
                <c:pt idx="84">
                  <c:v>576</c:v>
                </c:pt>
                <c:pt idx="85">
                  <c:v>386</c:v>
                </c:pt>
                <c:pt idx="86">
                  <c:v>37</c:v>
                </c:pt>
                <c:pt idx="87">
                  <c:v>1657</c:v>
                </c:pt>
                <c:pt idx="88">
                  <c:v>1397</c:v>
                </c:pt>
                <c:pt idx="89">
                  <c:v>540</c:v>
                </c:pt>
                <c:pt idx="90">
                  <c:v>1603</c:v>
                </c:pt>
                <c:pt idx="91">
                  <c:v>1044</c:v>
                </c:pt>
                <c:pt idx="92">
                  <c:v>902</c:v>
                </c:pt>
                <c:pt idx="93">
                  <c:v>-106</c:v>
                </c:pt>
                <c:pt idx="94">
                  <c:v>1150</c:v>
                </c:pt>
                <c:pt idx="95">
                  <c:v>349</c:v>
                </c:pt>
                <c:pt idx="96">
                  <c:v>-49</c:v>
                </c:pt>
                <c:pt idx="97">
                  <c:v>72</c:v>
                </c:pt>
                <c:pt idx="98">
                  <c:v>445</c:v>
                </c:pt>
                <c:pt idx="99">
                  <c:v>60</c:v>
                </c:pt>
                <c:pt idx="100">
                  <c:v>1693</c:v>
                </c:pt>
                <c:pt idx="101">
                  <c:v>1332</c:v>
                </c:pt>
                <c:pt idx="102">
                  <c:v>98</c:v>
                </c:pt>
                <c:pt idx="103">
                  <c:v>885</c:v>
                </c:pt>
                <c:pt idx="104">
                  <c:v>1625</c:v>
                </c:pt>
                <c:pt idx="105">
                  <c:v>1706</c:v>
                </c:pt>
                <c:pt idx="106">
                  <c:v>1173</c:v>
                </c:pt>
                <c:pt idx="107">
                  <c:v>291</c:v>
                </c:pt>
                <c:pt idx="108">
                  <c:v>1119</c:v>
                </c:pt>
                <c:pt idx="109">
                  <c:v>1373</c:v>
                </c:pt>
                <c:pt idx="110">
                  <c:v>1727</c:v>
                </c:pt>
                <c:pt idx="111">
                  <c:v>573</c:v>
                </c:pt>
                <c:pt idx="112">
                  <c:v>1432</c:v>
                </c:pt>
                <c:pt idx="113">
                  <c:v>1377</c:v>
                </c:pt>
                <c:pt idx="114">
                  <c:v>1359</c:v>
                </c:pt>
                <c:pt idx="115">
                  <c:v>876</c:v>
                </c:pt>
                <c:pt idx="116">
                  <c:v>684</c:v>
                </c:pt>
                <c:pt idx="117">
                  <c:v>730</c:v>
                </c:pt>
                <c:pt idx="118">
                  <c:v>911</c:v>
                </c:pt>
                <c:pt idx="119">
                  <c:v>1589</c:v>
                </c:pt>
                <c:pt idx="120">
                  <c:v>1765</c:v>
                </c:pt>
                <c:pt idx="121">
                  <c:v>1776</c:v>
                </c:pt>
                <c:pt idx="122">
                  <c:v>1529</c:v>
                </c:pt>
                <c:pt idx="123">
                  <c:v>1460</c:v>
                </c:pt>
                <c:pt idx="124">
                  <c:v>903</c:v>
                </c:pt>
                <c:pt idx="125">
                  <c:v>620</c:v>
                </c:pt>
                <c:pt idx="126">
                  <c:v>1188</c:v>
                </c:pt>
                <c:pt idx="127">
                  <c:v>846</c:v>
                </c:pt>
                <c:pt idx="128">
                  <c:v>1722</c:v>
                </c:pt>
                <c:pt idx="129">
                  <c:v>298</c:v>
                </c:pt>
                <c:pt idx="130">
                  <c:v>-144</c:v>
                </c:pt>
                <c:pt idx="131">
                  <c:v>901</c:v>
                </c:pt>
                <c:pt idx="132">
                  <c:v>1572</c:v>
                </c:pt>
                <c:pt idx="133">
                  <c:v>427</c:v>
                </c:pt>
                <c:pt idx="134">
                  <c:v>891</c:v>
                </c:pt>
                <c:pt idx="135">
                  <c:v>724</c:v>
                </c:pt>
                <c:pt idx="136">
                  <c:v>-166</c:v>
                </c:pt>
                <c:pt idx="137">
                  <c:v>898</c:v>
                </c:pt>
                <c:pt idx="138">
                  <c:v>1426</c:v>
                </c:pt>
                <c:pt idx="139">
                  <c:v>1225</c:v>
                </c:pt>
                <c:pt idx="140">
                  <c:v>1080</c:v>
                </c:pt>
                <c:pt idx="141">
                  <c:v>748</c:v>
                </c:pt>
                <c:pt idx="142">
                  <c:v>569</c:v>
                </c:pt>
                <c:pt idx="143">
                  <c:v>-203</c:v>
                </c:pt>
                <c:pt idx="144">
                  <c:v>1723</c:v>
                </c:pt>
                <c:pt idx="145">
                  <c:v>912</c:v>
                </c:pt>
                <c:pt idx="146">
                  <c:v>1202</c:v>
                </c:pt>
                <c:pt idx="147">
                  <c:v>1444</c:v>
                </c:pt>
                <c:pt idx="148">
                  <c:v>965</c:v>
                </c:pt>
                <c:pt idx="149">
                  <c:v>1590</c:v>
                </c:pt>
                <c:pt idx="150">
                  <c:v>-37</c:v>
                </c:pt>
                <c:pt idx="151">
                  <c:v>1175</c:v>
                </c:pt>
                <c:pt idx="152">
                  <c:v>1375</c:v>
                </c:pt>
                <c:pt idx="153">
                  <c:v>1707</c:v>
                </c:pt>
                <c:pt idx="154">
                  <c:v>708</c:v>
                </c:pt>
                <c:pt idx="155">
                  <c:v>1016</c:v>
                </c:pt>
                <c:pt idx="156">
                  <c:v>1315</c:v>
                </c:pt>
                <c:pt idx="157">
                  <c:v>-119</c:v>
                </c:pt>
                <c:pt idx="158">
                  <c:v>899</c:v>
                </c:pt>
                <c:pt idx="159">
                  <c:v>315</c:v>
                </c:pt>
                <c:pt idx="160">
                  <c:v>212</c:v>
                </c:pt>
                <c:pt idx="161">
                  <c:v>908</c:v>
                </c:pt>
                <c:pt idx="162">
                  <c:v>1350</c:v>
                </c:pt>
                <c:pt idx="163">
                  <c:v>1242</c:v>
                </c:pt>
                <c:pt idx="164">
                  <c:v>680</c:v>
                </c:pt>
                <c:pt idx="165">
                  <c:v>1116</c:v>
                </c:pt>
                <c:pt idx="166">
                  <c:v>861</c:v>
                </c:pt>
                <c:pt idx="167">
                  <c:v>1385</c:v>
                </c:pt>
                <c:pt idx="168">
                  <c:v>461</c:v>
                </c:pt>
                <c:pt idx="169">
                  <c:v>474</c:v>
                </c:pt>
                <c:pt idx="170">
                  <c:v>292</c:v>
                </c:pt>
                <c:pt idx="171">
                  <c:v>389</c:v>
                </c:pt>
                <c:pt idx="172">
                  <c:v>641</c:v>
                </c:pt>
                <c:pt idx="173">
                  <c:v>514</c:v>
                </c:pt>
                <c:pt idx="174">
                  <c:v>1676</c:v>
                </c:pt>
                <c:pt idx="175">
                  <c:v>1467</c:v>
                </c:pt>
                <c:pt idx="176">
                  <c:v>167</c:v>
                </c:pt>
                <c:pt idx="177">
                  <c:v>1029</c:v>
                </c:pt>
                <c:pt idx="178">
                  <c:v>1007</c:v>
                </c:pt>
                <c:pt idx="179">
                  <c:v>209</c:v>
                </c:pt>
                <c:pt idx="180">
                  <c:v>-160</c:v>
                </c:pt>
                <c:pt idx="181">
                  <c:v>-175</c:v>
                </c:pt>
                <c:pt idx="182">
                  <c:v>53</c:v>
                </c:pt>
                <c:pt idx="183">
                  <c:v>145</c:v>
                </c:pt>
                <c:pt idx="184">
                  <c:v>603</c:v>
                </c:pt>
                <c:pt idx="185">
                  <c:v>1045</c:v>
                </c:pt>
                <c:pt idx="186">
                  <c:v>759</c:v>
                </c:pt>
                <c:pt idx="187">
                  <c:v>1633</c:v>
                </c:pt>
                <c:pt idx="188">
                  <c:v>1539</c:v>
                </c:pt>
                <c:pt idx="189">
                  <c:v>453</c:v>
                </c:pt>
                <c:pt idx="190">
                  <c:v>948</c:v>
                </c:pt>
                <c:pt idx="191">
                  <c:v>637</c:v>
                </c:pt>
                <c:pt idx="192">
                  <c:v>1881</c:v>
                </c:pt>
                <c:pt idx="193">
                  <c:v>339</c:v>
                </c:pt>
                <c:pt idx="194">
                  <c:v>1510</c:v>
                </c:pt>
                <c:pt idx="195">
                  <c:v>864</c:v>
                </c:pt>
                <c:pt idx="196">
                  <c:v>1656</c:v>
                </c:pt>
                <c:pt idx="197">
                  <c:v>407</c:v>
                </c:pt>
                <c:pt idx="198">
                  <c:v>269</c:v>
                </c:pt>
                <c:pt idx="199">
                  <c:v>-337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13-4492-87D5-E24459725B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096591"/>
        <c:axId val="1870092751"/>
      </c:scatterChart>
      <c:valAx>
        <c:axId val="1870096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="1"/>
                  <a:t>Ad</a:t>
                </a:r>
                <a:r>
                  <a:rPr lang="en-IN" sz="1100" b="1" baseline="0"/>
                  <a:t> Spend</a:t>
                </a:r>
                <a:endParaRPr lang="en-IN" sz="1100" b="1"/>
              </a:p>
            </c:rich>
          </c:tx>
          <c:layout>
            <c:manualLayout>
              <c:xMode val="edge"/>
              <c:yMode val="edge"/>
              <c:x val="0.46960996930468435"/>
              <c:y val="0.92004981006767128"/>
            </c:manualLayout>
          </c:layout>
          <c:overlay val="0"/>
          <c:spPr>
            <a:solidFill>
              <a:srgbClr val="92D050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092751"/>
        <c:crosses val="autoZero"/>
        <c:crossBetween val="midCat"/>
      </c:valAx>
      <c:valAx>
        <c:axId val="1870092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="1"/>
                  <a:t>Follower</a:t>
                </a:r>
                <a:r>
                  <a:rPr lang="en-IN" sz="1100" b="1" baseline="0"/>
                  <a:t> Gain</a:t>
                </a:r>
                <a:endParaRPr lang="en-IN" sz="1100" b="1"/>
              </a:p>
            </c:rich>
          </c:tx>
          <c:layout>
            <c:manualLayout>
              <c:xMode val="edge"/>
              <c:yMode val="edge"/>
              <c:x val="1.8846061879976866E-2"/>
              <c:y val="0.42447513828213335"/>
            </c:manualLayout>
          </c:layout>
          <c:overlay val="0"/>
          <c:spPr>
            <a:solidFill>
              <a:srgbClr val="92D050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096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411480</xdr:colOff>
      <xdr:row>0</xdr:row>
      <xdr:rowOff>22860</xdr:rowOff>
    </xdr:from>
    <xdr:to>
      <xdr:col>11</xdr:col>
      <xdr:colOff>22860</xdr:colOff>
      <xdr:row>12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010A9D-9B03-5A33-5A41-D1225B8270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388620</xdr:colOff>
      <xdr:row>13</xdr:row>
      <xdr:rowOff>22860</xdr:rowOff>
    </xdr:from>
    <xdr:to>
      <xdr:col>12</xdr:col>
      <xdr:colOff>83820</xdr:colOff>
      <xdr:row>26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0B1A0A2-53B7-9A37-B9D9-9AF6575547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312420</xdr:colOff>
      <xdr:row>65</xdr:row>
      <xdr:rowOff>7620</xdr:rowOff>
    </xdr:from>
    <xdr:to>
      <xdr:col>12</xdr:col>
      <xdr:colOff>7620</xdr:colOff>
      <xdr:row>80</xdr:row>
      <xdr:rowOff>7620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E3AE15D-482B-A0F3-4466-8BBEDE9E1B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426720</xdr:colOff>
      <xdr:row>0</xdr:row>
      <xdr:rowOff>22860</xdr:rowOff>
    </xdr:from>
    <xdr:to>
      <xdr:col>10</xdr:col>
      <xdr:colOff>68580</xdr:colOff>
      <xdr:row>10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1DCB12-130D-4255-24DB-A5735703FD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411480</xdr:colOff>
      <xdr:row>10</xdr:row>
      <xdr:rowOff>160020</xdr:rowOff>
    </xdr:from>
    <xdr:to>
      <xdr:col>9</xdr:col>
      <xdr:colOff>419100</xdr:colOff>
      <xdr:row>21</xdr:row>
      <xdr:rowOff>45720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755C4E8-9494-3958-43A1-35012312F6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312420</xdr:colOff>
      <xdr:row>22</xdr:row>
      <xdr:rowOff>30480</xdr:rowOff>
    </xdr:from>
    <xdr:to>
      <xdr:col>11</xdr:col>
      <xdr:colOff>7620</xdr:colOff>
      <xdr:row>37</xdr:row>
      <xdr:rowOff>30480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10B49A7-1D4F-8E43-E99D-DCBFE4CA56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335280</xdr:colOff>
      <xdr:row>0</xdr:row>
      <xdr:rowOff>0</xdr:rowOff>
    </xdr:from>
    <xdr:to>
      <xdr:col>12</xdr:col>
      <xdr:colOff>45720</xdr:colOff>
      <xdr:row>11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AE9427-370A-8757-7BB5-22E20F00BB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12</xdr:row>
      <xdr:rowOff>7620</xdr:rowOff>
    </xdr:from>
    <xdr:to>
      <xdr:col>12</xdr:col>
      <xdr:colOff>45720</xdr:colOff>
      <xdr:row>24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C14942-440D-1238-465A-8907186B5E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7620</xdr:colOff>
      <xdr:row>25</xdr:row>
      <xdr:rowOff>15240</xdr:rowOff>
    </xdr:from>
    <xdr:to>
      <xdr:col>12</xdr:col>
      <xdr:colOff>38100</xdr:colOff>
      <xdr:row>36</xdr:row>
      <xdr:rowOff>45720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5ADC996-6D21-D9B6-F5DA-0F948DF265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480060</xdr:colOff>
      <xdr:row>37</xdr:row>
      <xdr:rowOff>30480</xdr:rowOff>
    </xdr:from>
    <xdr:to>
      <xdr:col>15</xdr:col>
      <xdr:colOff>45720</xdr:colOff>
      <xdr:row>52</xdr:row>
      <xdr:rowOff>30480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5F35A6C-7D26-3CA6-1A1B-145C8AC0C1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350520</xdr:colOff>
      <xdr:row>0</xdr:row>
      <xdr:rowOff>15240</xdr:rowOff>
    </xdr:from>
    <xdr:to>
      <xdr:col>15</xdr:col>
      <xdr:colOff>38100</xdr:colOff>
      <xdr:row>15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76FC4F-9731-6CBA-A92F-5FE5D43136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30480</xdr:colOff>
      <xdr:row>22</xdr:row>
      <xdr:rowOff>11430</xdr:rowOff>
    </xdr:from>
    <xdr:to>
      <xdr:col>14</xdr:col>
      <xdr:colOff>556260</xdr:colOff>
      <xdr:row>41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C151C0-9276-B4D3-11BE-75749A20AC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thankima" refreshedDate="46100.742531134259" createdVersion="8" refreshedVersion="8" minRefreshableVersion="3" recordCount="339" xr:uid="{5E41D959-C2FE-4492-847C-8C779DE247B3}">
  <cacheSource type="worksheet">
    <worksheetSource name="Posts__2"/>
  </cacheSource>
  <cacheFields count="18">
    <cacheField name="Post ID" numFmtId="0">
      <sharedItems count="300">
        <s v="P001"/>
        <s v="P002"/>
        <s v="P003"/>
        <s v="P004"/>
        <s v="P005"/>
        <s v="P006"/>
        <s v="P007"/>
        <s v="P008"/>
        <s v="P009"/>
        <s v="P010"/>
        <s v="P011"/>
        <s v="P012"/>
        <s v="P013"/>
        <s v="P014"/>
        <s v="P015"/>
        <s v="P016"/>
        <s v="P017"/>
        <s v="P018"/>
        <s v="P019"/>
        <s v="P020"/>
        <s v="P021"/>
        <s v="P022"/>
        <s v="P023"/>
        <s v="P024"/>
        <s v="P025"/>
        <s v="P026"/>
        <s v="P027"/>
        <s v="P028"/>
        <s v="P029"/>
        <s v="P030"/>
        <s v="P031"/>
        <s v="P032"/>
        <s v="P033"/>
        <s v="P034"/>
        <s v="P035"/>
        <s v="P036"/>
        <s v="P037"/>
        <s v="P038"/>
        <s v="P039"/>
        <s v="P040"/>
        <s v="P041"/>
        <s v="P042"/>
        <s v="P043"/>
        <s v="P044"/>
        <s v="P045"/>
        <s v="P046"/>
        <s v="P047"/>
        <s v="P048"/>
        <s v="P049"/>
        <s v="P050"/>
        <s v="P051"/>
        <s v="P052"/>
        <s v="P053"/>
        <s v="P054"/>
        <s v="P055"/>
        <s v="P056"/>
        <s v="P057"/>
        <s v="P058"/>
        <s v="P059"/>
        <s v="P060"/>
        <s v="P061"/>
        <s v="P062"/>
        <s v="P063"/>
        <s v="P064"/>
        <s v="P065"/>
        <s v="P066"/>
        <s v="P067"/>
        <s v="P068"/>
        <s v="P069"/>
        <s v="P070"/>
        <s v="P071"/>
        <s v="P072"/>
        <s v="P073"/>
        <s v="P074"/>
        <s v="P075"/>
        <s v="P076"/>
        <s v="P077"/>
        <s v="P078"/>
        <s v="P079"/>
        <s v="P080"/>
        <s v="P081"/>
        <s v="P082"/>
        <s v="P083"/>
        <s v="P084"/>
        <s v="P085"/>
        <s v="P086"/>
        <s v="P087"/>
        <s v="P088"/>
        <s v="P089"/>
        <s v="P090"/>
        <s v="P091"/>
        <s v="P092"/>
        <s v="P093"/>
        <s v="P094"/>
        <s v="P095"/>
        <s v="P096"/>
        <s v="P097"/>
        <s v="P098"/>
        <s v="P099"/>
        <s v="P100"/>
        <s v="P101"/>
        <s v="P102"/>
        <s v="P103"/>
        <s v="P104"/>
        <s v="P105"/>
        <s v="P106"/>
        <s v="P107"/>
        <s v="P108"/>
        <s v="P109"/>
        <s v="P110"/>
        <s v="P111"/>
        <s v="P112"/>
        <s v="P113"/>
        <s v="P114"/>
        <s v="P115"/>
        <s v="P116"/>
        <s v="P117"/>
        <s v="P118"/>
        <s v="P119"/>
        <s v="P120"/>
        <s v="P121"/>
        <s v="P122"/>
        <s v="P123"/>
        <s v="P124"/>
        <s v="P125"/>
        <s v="P126"/>
        <s v="P127"/>
        <s v="P128"/>
        <s v="P129"/>
        <s v="P130"/>
        <s v="P131"/>
        <s v="P132"/>
        <s v="P133"/>
        <s v="P134"/>
        <s v="P135"/>
        <s v="P136"/>
        <s v="P137"/>
        <s v="P138"/>
        <s v="P139"/>
        <s v="P140"/>
        <s v="P141"/>
        <s v="P142"/>
        <s v="P143"/>
        <s v="P144"/>
        <s v="P145"/>
        <s v="P146"/>
        <s v="P147"/>
        <s v="P148"/>
        <s v="P149"/>
        <s v="P150"/>
        <s v="P151"/>
        <s v="P152"/>
        <s v="P153"/>
        <s v="P154"/>
        <s v="P155"/>
        <s v="P156"/>
        <s v="P157"/>
        <s v="P158"/>
        <s v="P159"/>
        <s v="P160"/>
        <s v="P161"/>
        <s v="P162"/>
        <s v="P163"/>
        <s v="P164"/>
        <s v="P165"/>
        <s v="P166"/>
        <s v="P167"/>
        <s v="P168"/>
        <s v="P169"/>
        <s v="P170"/>
        <s v="P171"/>
        <s v="P172"/>
        <s v="P173"/>
        <s v="P174"/>
        <s v="P175"/>
        <s v="P176"/>
        <s v="P177"/>
        <s v="P178"/>
        <s v="P179"/>
        <s v="P180"/>
        <s v="P181"/>
        <s v="P182"/>
        <s v="P183"/>
        <s v="P184"/>
        <s v="P185"/>
        <s v="P186"/>
        <s v="P187"/>
        <s v="P188"/>
        <s v="P189"/>
        <s v="P190"/>
        <s v="P191"/>
        <s v="P192"/>
        <s v="P193"/>
        <s v="P194"/>
        <s v="P195"/>
        <s v="P196"/>
        <s v="P197"/>
        <s v="P198"/>
        <s v="P199"/>
        <s v="P200"/>
        <s v="P201"/>
        <s v="P202"/>
        <s v="P203"/>
        <s v="P204"/>
        <s v="P205"/>
        <s v="P206"/>
        <s v="P207"/>
        <s v="P208"/>
        <s v="P209"/>
        <s v="P210"/>
        <s v="P211"/>
        <s v="P212"/>
        <s v="P213"/>
        <s v="P214"/>
        <s v="P215"/>
        <s v="P216"/>
        <s v="P217"/>
        <s v="P218"/>
        <s v="P219"/>
        <s v="P220"/>
        <s v="P221"/>
        <s v="P222"/>
        <s v="P223"/>
        <s v="P224"/>
        <s v="P225"/>
        <s v="P226"/>
        <s v="P227"/>
        <s v="P228"/>
        <s v="P229"/>
        <s v="P230"/>
        <s v="P231"/>
        <s v="P232"/>
        <s v="P233"/>
        <s v="P234"/>
        <s v="P235"/>
        <s v="P236"/>
        <s v="P237"/>
        <s v="P238"/>
        <s v="P239"/>
        <s v="P240"/>
        <s v="P241"/>
        <s v="P242"/>
        <s v="P243"/>
        <s v="P244"/>
        <s v="P245"/>
        <s v="P246"/>
        <s v="P247"/>
        <s v="P248"/>
        <s v="P249"/>
        <s v="P250"/>
        <s v="P251"/>
        <s v="P252"/>
        <s v="P253"/>
        <s v="P254"/>
        <s v="P255"/>
        <s v="P256"/>
        <s v="P257"/>
        <s v="P258"/>
        <s v="P259"/>
        <s v="P260"/>
        <s v="P261"/>
        <s v="P262"/>
        <s v="P263"/>
        <s v="P264"/>
        <s v="P265"/>
        <s v="P266"/>
        <s v="P267"/>
        <s v="P268"/>
        <s v="P269"/>
        <s v="P270"/>
        <s v="P271"/>
        <s v="P272"/>
        <s v="P273"/>
        <s v="P274"/>
        <s v="P275"/>
        <s v="P276"/>
        <s v="P277"/>
        <s v="P278"/>
        <s v="P279"/>
        <s v="P280"/>
        <s v="P281"/>
        <s v="P282"/>
        <s v="P283"/>
        <s v="P284"/>
        <s v="P285"/>
        <s v="P286"/>
        <s v="P287"/>
        <s v="P288"/>
        <s v="P289"/>
        <s v="P290"/>
        <s v="P291"/>
        <s v="P292"/>
        <s v="P293"/>
        <s v="P294"/>
        <s v="P295"/>
        <s v="P296"/>
        <s v="P297"/>
        <s v="P298"/>
        <s v="P299"/>
        <s v="P300"/>
      </sharedItems>
    </cacheField>
    <cacheField name="Platform" numFmtId="0">
      <sharedItems count="4">
        <s v="Twitter"/>
        <s v="YouTube"/>
        <s v="Instagram"/>
        <s v="Facebook"/>
      </sharedItems>
    </cacheField>
    <cacheField name="Date" numFmtId="14">
      <sharedItems containsSemiMixedTypes="0" containsNonDate="0" containsDate="1" containsString="0" minDate="2024-06-01T00:00:00" maxDate="2025-05-15T00:00:00"/>
    </cacheField>
    <cacheField name="Content Type" numFmtId="0">
      <sharedItems count="6">
        <s v="Reel"/>
        <s v="Text"/>
        <s v="Story"/>
        <s v="Carousel"/>
        <s v="Image"/>
        <s v="Video"/>
      </sharedItems>
    </cacheField>
    <cacheField name="Post Text" numFmtId="0">
      <sharedItems/>
    </cacheField>
    <cacheField name="Likes" numFmtId="0">
      <sharedItems containsSemiMixedTypes="0" containsString="0" containsNumber="1" containsInteger="1" minValue="53" maxValue="4941"/>
    </cacheField>
    <cacheField name="Shares" numFmtId="0">
      <sharedItems containsSemiMixedTypes="0" containsString="0" containsNumber="1" containsInteger="1" minValue="10" maxValue="983"/>
    </cacheField>
    <cacheField name="Comments" numFmtId="0">
      <sharedItems containsSemiMixedTypes="0" containsString="0" containsNumber="1" containsInteger="1" minValue="7" maxValue="500"/>
    </cacheField>
    <cacheField name="Impressions" numFmtId="0">
      <sharedItems containsSemiMixedTypes="0" containsString="0" containsNumber="1" containsInteger="1" minValue="588" maxValue="98100"/>
    </cacheField>
    <cacheField name="Reach" numFmtId="0">
      <sharedItems containsSemiMixedTypes="0" containsString="0" containsNumber="1" containsInteger="1" minValue="7" maxValue="97772"/>
    </cacheField>
    <cacheField name="Clicks" numFmtId="0">
      <sharedItems containsSemiMixedTypes="0" containsString="0" containsNumber="1" containsInteger="1" minValue="10" maxValue="300"/>
    </cacheField>
    <cacheField name="Hashtags Used" numFmtId="0">
      <sharedItems count="6">
        <s v="#FutureOfDriving"/>
        <s v="#AnytimeIsTeslaTime"/>
        <s v="#TeslaCoInnovation"/>
        <s v="#BetterWithTesla"/>
        <s v="#EVRevolution"/>
        <s v="#SmoothLikeNitroTesla"/>
      </sharedItems>
    </cacheField>
    <cacheField name="Campaign_Name" numFmtId="0">
      <sharedItems count="5">
        <s v="CybertruckLaunch"/>
        <s v="ModelYCampaign"/>
        <s v="FSDUpdate"/>
        <s v="SustainabilityDrive"/>
        <s v="NA"/>
      </sharedItems>
    </cacheField>
    <cacheField name="Engagement Rate" numFmtId="9">
      <sharedItems containsSemiMixedTypes="0" containsString="0" containsNumber="1" minValue="5.2551586421122697E-2" maxValue="1.8129251700680271"/>
    </cacheField>
    <cacheField name="Engagement" numFmtId="1">
      <sharedItems containsSemiMixedTypes="0" containsString="0" containsNumber="1" containsInteger="1" minValue="315" maxValue="6278"/>
    </cacheField>
    <cacheField name="Ad Spend" numFmtId="1">
      <sharedItems containsSemiMixedTypes="0" containsString="0" containsNumber="1" containsInteger="1" minValue="5904" maxValue="30671"/>
    </cacheField>
    <cacheField name="Period" numFmtId="0">
      <sharedItems/>
    </cacheField>
    <cacheField name="ROI" numFmtId="166">
      <sharedItems containsSemiMixedTypes="0" containsString="0" containsNumber="1" minValue="1.1774820574162679E-2" maxValue="1.021341463414634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thankima" refreshedDate="46100.742531828706" createdVersion="8" refreshedVersion="8" minRefreshableVersion="3" recordCount="200" xr:uid="{FC2112C1-0255-4418-8B64-E4399C626AC5}">
  <cacheSource type="worksheet">
    <worksheetSource name="Engagement_Summary"/>
  </cacheSource>
  <cacheFields count="11">
    <cacheField name="Week_Start_Date" numFmtId="14">
      <sharedItems containsSemiMixedTypes="0" containsNonDate="0" containsDate="1" containsString="0" minDate="2024-06-03T00:00:00" maxDate="2025-05-13T00:00:00" count="50">
        <d v="2024-06-03T00:00:00"/>
        <d v="2024-06-10T00:00:00"/>
        <d v="2024-06-17T00:00:00"/>
        <d v="2024-06-24T00:00:00"/>
        <d v="2024-07-01T00:00:00"/>
        <d v="2024-07-08T00:00:00"/>
        <d v="2024-07-15T00:00:00"/>
        <d v="2024-07-22T00:00:00"/>
        <d v="2024-07-29T00:00:00"/>
        <d v="2024-08-05T00:00:00"/>
        <d v="2024-08-12T00:00:00"/>
        <d v="2024-08-19T00:00:00"/>
        <d v="2024-08-26T00:00:00"/>
        <d v="2024-09-02T00:00:00"/>
        <d v="2024-09-09T00:00:00"/>
        <d v="2024-09-16T00:00:00"/>
        <d v="2024-09-23T00:00:00"/>
        <d v="2024-09-30T00:00:00"/>
        <d v="2024-10-07T00:00:00"/>
        <d v="2024-10-14T00:00:00"/>
        <d v="2024-10-21T00:00:00"/>
        <d v="2024-10-28T00:00:00"/>
        <d v="2024-11-04T00:00:00"/>
        <d v="2024-11-11T00:00:00"/>
        <d v="2024-11-18T00:00:00"/>
        <d v="2024-11-25T00:00:00"/>
        <d v="2024-12-02T00:00:00"/>
        <d v="2024-12-09T00:00:00"/>
        <d v="2024-12-16T00:00:00"/>
        <d v="2024-12-23T00:00:00"/>
        <d v="2024-12-30T00:00:00"/>
        <d v="2025-01-06T00:00:00"/>
        <d v="2025-01-13T00:00:00"/>
        <d v="2025-01-20T00:00:00"/>
        <d v="2025-01-27T00:00:00"/>
        <d v="2025-02-03T00:00:00"/>
        <d v="2025-02-10T00:00:00"/>
        <d v="2025-02-17T00:00:00"/>
        <d v="2025-02-24T00:00:00"/>
        <d v="2025-03-03T00:00:00"/>
        <d v="2025-03-10T00:00:00"/>
        <d v="2025-03-17T00:00:00"/>
        <d v="2025-03-24T00:00:00"/>
        <d v="2025-03-31T00:00:00"/>
        <d v="2025-04-07T00:00:00"/>
        <d v="2025-04-14T00:00:00"/>
        <d v="2025-04-21T00:00:00"/>
        <d v="2025-04-28T00:00:00"/>
        <d v="2025-05-05T00:00:00"/>
        <d v="2025-05-12T00:00:00"/>
      </sharedItems>
    </cacheField>
    <cacheField name="Platform" numFmtId="0">
      <sharedItems count="4">
        <s v="Instagram"/>
        <s v="Facebook"/>
        <s v="Twitter"/>
        <s v="YouTube"/>
      </sharedItems>
    </cacheField>
    <cacheField name="Platform2" numFmtId="0">
      <sharedItems/>
    </cacheField>
    <cacheField name="New_Followers" numFmtId="0">
      <sharedItems containsSemiMixedTypes="0" containsString="0" containsNumber="1" containsInteger="1" minValue="115" maxValue="1980"/>
    </cacheField>
    <cacheField name="Unfollows" numFmtId="0">
      <sharedItems containsSemiMixedTypes="0" containsString="0" containsNumber="1" containsInteger="1" minValue="20" maxValue="498"/>
    </cacheField>
    <cacheField name="Total_Followers" numFmtId="0">
      <sharedItems containsSemiMixedTypes="0" containsString="0" containsNumber="1" containsInteger="1" minValue="11435" maxValue="496982"/>
    </cacheField>
    <cacheField name="Engagement_Rate" numFmtId="0">
      <sharedItems containsSemiMixedTypes="0" containsString="0" containsNumber="1" minValue="1.53" maxValue="9.48"/>
    </cacheField>
    <cacheField name="Ad_Spend" numFmtId="0">
      <sharedItems containsSemiMixedTypes="0" containsString="0" containsNumber="1" containsInteger="1" minValue="1083" maxValue="49772"/>
    </cacheField>
    <cacheField name="Net Growth Followers" numFmtId="1">
      <sharedItems containsSemiMixedTypes="0" containsString="0" containsNumber="1" containsInteger="1" minValue="-337" maxValue="1881"/>
    </cacheField>
    <cacheField name="Growth Rate" numFmtId="10">
      <sharedItems containsSemiMixedTypes="0" containsString="0" containsNumber="1" minValue="-4.0819787301048958E-3" maxValue="0.10825114265095021"/>
    </cacheField>
    <cacheField name="Campaign Name" numFmtId="0">
      <sharedItems count="5">
        <s v="SustainabilityDrive"/>
        <s v="ModelYCampaign"/>
        <s v="CybertruckLaunch"/>
        <s v="FSDUpdate"/>
        <s v="N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thankima" refreshedDate="46100.742532060183" createdVersion="8" refreshedVersion="8" minRefreshableVersion="3" recordCount="4" xr:uid="{DA912CE2-C385-415F-A979-E26F83D00F9B}">
  <cacheSource type="worksheet">
    <worksheetSource ref="A1:G5" sheet="Task 5"/>
  </cacheSource>
  <cacheFields count="7">
    <cacheField name="Campaign Name" numFmtId="0">
      <sharedItems count="4">
        <s v="CybertruckLaunch"/>
        <s v="ModelYCampaign"/>
        <s v="FSDUpdate"/>
        <s v="SustainabilityDrive"/>
      </sharedItems>
    </cacheField>
    <cacheField name="Total impressions" numFmtId="0">
      <sharedItems containsSemiMixedTypes="0" containsString="0" containsNumber="1" containsInteger="1" minValue="2090555" maxValue="2905567"/>
    </cacheField>
    <cacheField name="Avg Impressions" numFmtId="165">
      <sharedItems containsSemiMixedTypes="0" containsString="0" containsNumber="1" minValue="32993.276315789473" maxValue="39444.433962264149"/>
    </cacheField>
    <cacheField name="Total Likes" numFmtId="0">
      <sharedItems containsSemiMixedTypes="0" containsString="0" containsNumber="1" containsInteger="1" minValue="154613" maxValue="219562"/>
    </cacheField>
    <cacheField name="Avg Likes" numFmtId="165">
      <sharedItems containsSemiMixedTypes="0" containsString="0" containsNumber="1" minValue="2650" maxValue="2917.2264150943397"/>
    </cacheField>
    <cacheField name="Total Clicks" numFmtId="0">
      <sharedItems containsSemiMixedTypes="0" containsString="0" containsNumber="1" containsInteger="1" minValue="7094" maxValue="12544"/>
    </cacheField>
    <cacheField name="Avg Clicks" numFmtId="2">
      <sharedItems containsSemiMixedTypes="0" containsString="0" containsNumber="1" minValue="133.84905660377359" maxValue="164.235294117647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9">
  <r>
    <x v="0"/>
    <x v="0"/>
    <d v="2024-12-23T00:00:00"/>
    <x v="0"/>
    <s v="Check out our latest reel on twitter!"/>
    <n v="1461"/>
    <n v="184"/>
    <n v="344"/>
    <n v="21915"/>
    <n v="21675"/>
    <n v="15"/>
    <x v="0"/>
    <x v="0"/>
    <n v="9.0759753593429152E-2"/>
    <n v="1989"/>
    <n v="26752"/>
    <s v="During"/>
    <n v="7.4349581339712922E-2"/>
  </r>
  <r>
    <x v="0"/>
    <x v="0"/>
    <d v="2024-12-23T00:00:00"/>
    <x v="0"/>
    <s v="Check out our latest reel on twitter!"/>
    <n v="1461"/>
    <n v="184"/>
    <n v="344"/>
    <n v="21915"/>
    <n v="21675"/>
    <n v="15"/>
    <x v="1"/>
    <x v="0"/>
    <n v="9.0759753593429152E-2"/>
    <n v="1989"/>
    <n v="26752"/>
    <s v="During"/>
    <n v="7.4349581339712922E-2"/>
  </r>
  <r>
    <x v="1"/>
    <x v="0"/>
    <d v="2025-04-03T00:00:00"/>
    <x v="1"/>
    <s v="Check out our latest text on twitter!"/>
    <n v="4054"/>
    <n v="389"/>
    <n v="493"/>
    <n v="64864"/>
    <n v="64383"/>
    <n v="117"/>
    <x v="2"/>
    <x v="1"/>
    <n v="7.6097681302417369E-2"/>
    <n v="4936"/>
    <n v="26752"/>
    <s v="During"/>
    <n v="0.18450956937799043"/>
  </r>
  <r>
    <x v="1"/>
    <x v="0"/>
    <d v="2025-04-03T00:00:00"/>
    <x v="1"/>
    <s v="Check out our latest text on twitter!"/>
    <n v="4054"/>
    <n v="389"/>
    <n v="493"/>
    <n v="64864"/>
    <n v="64383"/>
    <n v="117"/>
    <x v="3"/>
    <x v="1"/>
    <n v="7.6097681302417369E-2"/>
    <n v="4936"/>
    <n v="26752"/>
    <s v="During"/>
    <n v="0.18450956937799043"/>
  </r>
  <r>
    <x v="2"/>
    <x v="1"/>
    <d v="2025-05-12T00:00:00"/>
    <x v="0"/>
    <s v="Check out our latest reel on youtube!"/>
    <n v="2795"/>
    <n v="105"/>
    <n v="49"/>
    <n v="53105"/>
    <n v="52307"/>
    <n v="204"/>
    <x v="2"/>
    <x v="2"/>
    <n v="5.5531494209584788E-2"/>
    <n v="2949"/>
    <n v="30671"/>
    <s v="During"/>
    <n v="9.6149457141925604E-2"/>
  </r>
  <r>
    <x v="3"/>
    <x v="2"/>
    <d v="2024-08-12T00:00:00"/>
    <x v="2"/>
    <s v="Check out our latest story on instagram!"/>
    <n v="2404"/>
    <n v="363"/>
    <n v="138"/>
    <n v="19232"/>
    <n v="18636"/>
    <n v="128"/>
    <x v="4"/>
    <x v="3"/>
    <n v="0.15105033277870217"/>
    <n v="2905"/>
    <n v="5904"/>
    <s v="Before"/>
    <n v="0.49203929539295393"/>
  </r>
  <r>
    <x v="4"/>
    <x v="1"/>
    <d v="2024-06-26T00:00:00"/>
    <x v="0"/>
    <s v="Check out our latest reel on youtube!"/>
    <n v="3557"/>
    <n v="687"/>
    <n v="424"/>
    <n v="71140"/>
    <n v="70701"/>
    <n v="224"/>
    <x v="4"/>
    <x v="0"/>
    <n v="6.5617093055946027E-2"/>
    <n v="4668"/>
    <n v="30671"/>
    <s v="During"/>
    <n v="0.15219588536402465"/>
  </r>
  <r>
    <x v="4"/>
    <x v="1"/>
    <d v="2024-06-26T00:00:00"/>
    <x v="0"/>
    <s v="Check out our latest reel on youtube!"/>
    <n v="3557"/>
    <n v="687"/>
    <n v="424"/>
    <n v="71140"/>
    <n v="70701"/>
    <n v="224"/>
    <x v="2"/>
    <x v="0"/>
    <n v="6.5617093055946027E-2"/>
    <n v="4668"/>
    <n v="30671"/>
    <s v="During"/>
    <n v="0.15219588536402465"/>
  </r>
  <r>
    <x v="5"/>
    <x v="3"/>
    <d v="2024-10-31T00:00:00"/>
    <x v="3"/>
    <s v="Check out our latest carousel on facebook!"/>
    <n v="2945"/>
    <n v="930"/>
    <n v="355"/>
    <n v="23560"/>
    <n v="23275"/>
    <n v="256"/>
    <x v="2"/>
    <x v="1"/>
    <n v="0.17954159592529711"/>
    <n v="4230"/>
    <n v="9566"/>
    <s v="During"/>
    <n v="0.44219109345598995"/>
  </r>
  <r>
    <x v="6"/>
    <x v="0"/>
    <d v="2024-06-24T00:00:00"/>
    <x v="3"/>
    <s v="Check out our latest carousel on twitter!"/>
    <n v="3860"/>
    <n v="201"/>
    <n v="279"/>
    <n v="61760"/>
    <n v="61660"/>
    <n v="235"/>
    <x v="2"/>
    <x v="1"/>
    <n v="7.0272020725388601E-2"/>
    <n v="4340"/>
    <n v="26752"/>
    <s v="Before"/>
    <n v="0.16223086124401914"/>
  </r>
  <r>
    <x v="7"/>
    <x v="1"/>
    <d v="2024-07-13T00:00:00"/>
    <x v="4"/>
    <s v="Check out our latest image on youtube!"/>
    <n v="3929"/>
    <n v="262"/>
    <n v="278"/>
    <n v="43219"/>
    <n v="42841"/>
    <n v="39"/>
    <x v="4"/>
    <x v="3"/>
    <n v="0.10340359564080613"/>
    <n v="4469"/>
    <n v="30671"/>
    <s v="Before"/>
    <n v="0.14570767174203644"/>
  </r>
  <r>
    <x v="8"/>
    <x v="3"/>
    <d v="2024-08-30T00:00:00"/>
    <x v="1"/>
    <s v="Check out our latest text on facebook!"/>
    <n v="3784"/>
    <n v="808"/>
    <n v="404"/>
    <n v="56760"/>
    <n v="56343"/>
    <n v="131"/>
    <x v="2"/>
    <x v="1"/>
    <n v="8.8019732205778717E-2"/>
    <n v="4996"/>
    <n v="9566"/>
    <s v="Before"/>
    <n v="0.52226636002508886"/>
  </r>
  <r>
    <x v="9"/>
    <x v="3"/>
    <d v="2025-03-11T00:00:00"/>
    <x v="4"/>
    <s v="Check out our latest image on facebook!"/>
    <n v="4241"/>
    <n v="902"/>
    <n v="47"/>
    <n v="72097"/>
    <n v="71598"/>
    <n v="167"/>
    <x v="2"/>
    <x v="1"/>
    <n v="7.198635172059864E-2"/>
    <n v="5190"/>
    <n v="9566"/>
    <s v="During"/>
    <n v="0.54254651892117922"/>
  </r>
  <r>
    <x v="10"/>
    <x v="2"/>
    <d v="2025-02-02T00:00:00"/>
    <x v="2"/>
    <s v="Check out our latest story on instagram!"/>
    <n v="1792"/>
    <n v="614"/>
    <n v="497"/>
    <n v="25088"/>
    <n v="24675"/>
    <n v="65"/>
    <x v="0"/>
    <x v="3"/>
    <n v="0.11571269132653061"/>
    <n v="2903"/>
    <n v="5904"/>
    <s v="Before"/>
    <n v="0.49170054200542007"/>
  </r>
  <r>
    <x v="11"/>
    <x v="3"/>
    <d v="2024-07-21T00:00:00"/>
    <x v="0"/>
    <s v="Check out our latest reel on facebook!"/>
    <n v="1946"/>
    <n v="686"/>
    <n v="377"/>
    <n v="23352"/>
    <n v="22982"/>
    <n v="213"/>
    <x v="0"/>
    <x v="2"/>
    <n v="0.12885405960945528"/>
    <n v="3009"/>
    <n v="9566"/>
    <s v="Before"/>
    <n v="0.31455153669245245"/>
  </r>
  <r>
    <x v="12"/>
    <x v="1"/>
    <d v="2024-11-18T00:00:00"/>
    <x v="3"/>
    <s v="Check out our latest carousel on youtube!"/>
    <n v="1171"/>
    <n v="286"/>
    <n v="231"/>
    <n v="22249"/>
    <n v="21282"/>
    <n v="114"/>
    <x v="4"/>
    <x v="0"/>
    <n v="7.5868578363072495E-2"/>
    <n v="1688"/>
    <n v="30671"/>
    <s v="During"/>
    <n v="5.503570147696521E-2"/>
  </r>
  <r>
    <x v="13"/>
    <x v="3"/>
    <d v="2025-02-16T00:00:00"/>
    <x v="2"/>
    <s v="Check out our latest story on facebook!"/>
    <n v="4242"/>
    <n v="555"/>
    <n v="131"/>
    <n v="33936"/>
    <n v="33802"/>
    <n v="265"/>
    <x v="0"/>
    <x v="4"/>
    <n v="0.14521452145214522"/>
    <n v="4928"/>
    <n v="9566"/>
    <s v="Not Found"/>
    <n v="0.5151578507213046"/>
  </r>
  <r>
    <x v="14"/>
    <x v="3"/>
    <d v="2024-10-24T00:00:00"/>
    <x v="5"/>
    <s v="Check out our latest video on facebook!"/>
    <n v="3888"/>
    <n v="604"/>
    <n v="128"/>
    <n v="77760"/>
    <n v="77167"/>
    <n v="20"/>
    <x v="0"/>
    <x v="0"/>
    <n v="5.941358024691358E-2"/>
    <n v="4620"/>
    <n v="9566"/>
    <s v="During"/>
    <n v="0.48296048505122308"/>
  </r>
  <r>
    <x v="15"/>
    <x v="3"/>
    <d v="2024-08-26T00:00:00"/>
    <x v="1"/>
    <s v="Check out our latest text on facebook!"/>
    <n v="3452"/>
    <n v="377"/>
    <n v="360"/>
    <n v="55232"/>
    <n v="55075"/>
    <n v="87"/>
    <x v="0"/>
    <x v="2"/>
    <n v="7.5843713789107758E-2"/>
    <n v="4189"/>
    <n v="9566"/>
    <s v="Before"/>
    <n v="0.4379050804934142"/>
  </r>
  <r>
    <x v="16"/>
    <x v="3"/>
    <d v="2025-05-05T00:00:00"/>
    <x v="1"/>
    <s v="Check out our latest text on facebook!"/>
    <n v="4441"/>
    <n v="511"/>
    <n v="70"/>
    <n v="53292"/>
    <n v="53082"/>
    <n v="159"/>
    <x v="4"/>
    <x v="3"/>
    <n v="9.4235532537716729E-2"/>
    <n v="5022"/>
    <n v="9566"/>
    <s v="During"/>
    <n v="0.52498431946477109"/>
  </r>
  <r>
    <x v="17"/>
    <x v="2"/>
    <d v="2024-08-19T00:00:00"/>
    <x v="0"/>
    <s v="Check out our latest reel on instagram!"/>
    <n v="3000"/>
    <n v="382"/>
    <n v="325"/>
    <n v="36000"/>
    <n v="35819"/>
    <n v="19"/>
    <x v="0"/>
    <x v="0"/>
    <n v="0.10297222222222223"/>
    <n v="3707"/>
    <n v="5904"/>
    <s v="During"/>
    <n v="0.62787940379403795"/>
  </r>
  <r>
    <x v="18"/>
    <x v="2"/>
    <d v="2024-06-23T00:00:00"/>
    <x v="5"/>
    <s v="Check out our latest video on instagram!"/>
    <n v="1071"/>
    <n v="519"/>
    <n v="22"/>
    <n v="16065"/>
    <n v="15865"/>
    <n v="103"/>
    <x v="2"/>
    <x v="3"/>
    <n v="0.10034235916588857"/>
    <n v="1612"/>
    <n v="5904"/>
    <s v="Before"/>
    <n v="0.27303523035230354"/>
  </r>
  <r>
    <x v="19"/>
    <x v="2"/>
    <d v="2024-09-09T00:00:00"/>
    <x v="3"/>
    <s v="Check out our latest carousel on instagram!"/>
    <n v="4054"/>
    <n v="488"/>
    <n v="373"/>
    <n v="77026"/>
    <n v="76881"/>
    <n v="25"/>
    <x v="2"/>
    <x v="0"/>
    <n v="6.3809622724794221E-2"/>
    <n v="4915"/>
    <n v="5904"/>
    <s v="During"/>
    <n v="0.8324864498644986"/>
  </r>
  <r>
    <x v="20"/>
    <x v="2"/>
    <d v="2025-01-04T00:00:00"/>
    <x v="0"/>
    <s v="Check out our latest reel on instagram!"/>
    <n v="4838"/>
    <n v="640"/>
    <n v="128"/>
    <n v="72570"/>
    <n v="72396"/>
    <n v="83"/>
    <x v="0"/>
    <x v="3"/>
    <n v="7.7249552156538517E-2"/>
    <n v="5606"/>
    <n v="5904"/>
    <s v="Before"/>
    <n v="0.94952574525745259"/>
  </r>
  <r>
    <x v="21"/>
    <x v="3"/>
    <d v="2025-02-27T00:00:00"/>
    <x v="1"/>
    <s v="Check out our latest text on facebook!"/>
    <n v="1570"/>
    <n v="187"/>
    <n v="260"/>
    <n v="25120"/>
    <n v="24613"/>
    <n v="133"/>
    <x v="2"/>
    <x v="3"/>
    <n v="8.0294585987261149E-2"/>
    <n v="2017"/>
    <n v="9566"/>
    <s v="Before"/>
    <n v="0.21085093037842359"/>
  </r>
  <r>
    <x v="22"/>
    <x v="3"/>
    <d v="2024-11-06T00:00:00"/>
    <x v="5"/>
    <s v="Check out our latest video on facebook!"/>
    <n v="1606"/>
    <n v="547"/>
    <n v="316"/>
    <n v="32120"/>
    <n v="31736"/>
    <n v="225"/>
    <x v="2"/>
    <x v="1"/>
    <n v="7.6867995018679955E-2"/>
    <n v="2469"/>
    <n v="9566"/>
    <s v="During"/>
    <n v="0.25810160986828351"/>
  </r>
  <r>
    <x v="22"/>
    <x v="3"/>
    <d v="2024-11-06T00:00:00"/>
    <x v="5"/>
    <s v="Check out our latest video on facebook!"/>
    <n v="1606"/>
    <n v="547"/>
    <n v="316"/>
    <n v="32120"/>
    <n v="31736"/>
    <n v="225"/>
    <x v="1"/>
    <x v="1"/>
    <n v="7.6867995018679955E-2"/>
    <n v="2469"/>
    <n v="9566"/>
    <s v="During"/>
    <n v="0.25810160986828351"/>
  </r>
  <r>
    <x v="23"/>
    <x v="3"/>
    <d v="2025-01-23T00:00:00"/>
    <x v="5"/>
    <s v="Check out our latest video on facebook!"/>
    <n v="3961"/>
    <n v="761"/>
    <n v="131"/>
    <n v="67337"/>
    <n v="66615"/>
    <n v="161"/>
    <x v="0"/>
    <x v="2"/>
    <n v="7.2070332803659209E-2"/>
    <n v="4853"/>
    <n v="9566"/>
    <s v="During"/>
    <n v="0.50731758310683672"/>
  </r>
  <r>
    <x v="24"/>
    <x v="0"/>
    <d v="2025-04-10T00:00:00"/>
    <x v="3"/>
    <s v="Check out our latest carousel on twitter!"/>
    <n v="3128"/>
    <n v="211"/>
    <n v="197"/>
    <n v="59432"/>
    <n v="59182"/>
    <n v="238"/>
    <x v="4"/>
    <x v="4"/>
    <n v="5.9496567505720827E-2"/>
    <n v="3536"/>
    <n v="26752"/>
    <s v="Not Found"/>
    <n v="0.13217703349282298"/>
  </r>
  <r>
    <x v="25"/>
    <x v="1"/>
    <d v="2025-04-05T00:00:00"/>
    <x v="0"/>
    <s v="Check out our latest reel on youtube!"/>
    <n v="3009"/>
    <n v="413"/>
    <n v="358"/>
    <n v="42126"/>
    <n v="41309"/>
    <n v="211"/>
    <x v="0"/>
    <x v="1"/>
    <n v="8.9730807577268201E-2"/>
    <n v="3780"/>
    <n v="30671"/>
    <s v="During"/>
    <n v="0.12324345472922305"/>
  </r>
  <r>
    <x v="26"/>
    <x v="1"/>
    <d v="2024-09-17T00:00:00"/>
    <x v="1"/>
    <s v="Check out our latest text on youtube!"/>
    <n v="2076"/>
    <n v="195"/>
    <n v="104"/>
    <n v="33216"/>
    <n v="32244"/>
    <n v="51"/>
    <x v="0"/>
    <x v="3"/>
    <n v="7.1501685934489398E-2"/>
    <n v="2375"/>
    <n v="30671"/>
    <s v="Before"/>
    <n v="7.7434710312673211E-2"/>
  </r>
  <r>
    <x v="27"/>
    <x v="2"/>
    <d v="2025-03-04T00:00:00"/>
    <x v="5"/>
    <s v="Check out our latest video on instagram!"/>
    <n v="432"/>
    <n v="624"/>
    <n v="123"/>
    <n v="6912"/>
    <n v="6259"/>
    <n v="79"/>
    <x v="0"/>
    <x v="3"/>
    <n v="0.17057291666666666"/>
    <n v="1179"/>
    <n v="5904"/>
    <s v="During"/>
    <n v="0.19969512195121952"/>
  </r>
  <r>
    <x v="28"/>
    <x v="2"/>
    <d v="2025-01-31T00:00:00"/>
    <x v="3"/>
    <s v="Check out our latest carousel on instagram!"/>
    <n v="2566"/>
    <n v="118"/>
    <n v="37"/>
    <n v="12830"/>
    <n v="12264"/>
    <n v="221"/>
    <x v="0"/>
    <x v="2"/>
    <n v="0.21208106001558846"/>
    <n v="2721"/>
    <n v="5904"/>
    <s v="During"/>
    <n v="0.4608739837398374"/>
  </r>
  <r>
    <x v="29"/>
    <x v="2"/>
    <d v="2025-02-25T00:00:00"/>
    <x v="5"/>
    <s v="Check out our latest video on instagram!"/>
    <n v="3095"/>
    <n v="39"/>
    <n v="78"/>
    <n v="55710"/>
    <n v="54808"/>
    <n v="93"/>
    <x v="4"/>
    <x v="4"/>
    <n v="5.7655717106444085E-2"/>
    <n v="3212"/>
    <n v="5904"/>
    <s v="Not Found"/>
    <n v="0.54403794037940378"/>
  </r>
  <r>
    <x v="30"/>
    <x v="2"/>
    <d v="2024-12-16T00:00:00"/>
    <x v="1"/>
    <s v="Check out our latest text on instagram!"/>
    <n v="438"/>
    <n v="153"/>
    <n v="275"/>
    <n v="3066"/>
    <n v="2701"/>
    <n v="282"/>
    <x v="2"/>
    <x v="1"/>
    <n v="0.28245270711024134"/>
    <n v="866"/>
    <n v="5904"/>
    <s v="During"/>
    <n v="0.14668021680216803"/>
  </r>
  <r>
    <x v="31"/>
    <x v="0"/>
    <d v="2024-07-31T00:00:00"/>
    <x v="3"/>
    <s v="Check out our latest carousel on twitter!"/>
    <n v="2278"/>
    <n v="10"/>
    <n v="321"/>
    <n v="13668"/>
    <n v="12676"/>
    <n v="275"/>
    <x v="4"/>
    <x v="0"/>
    <n v="0.19088381621305239"/>
    <n v="2609"/>
    <n v="26752"/>
    <s v="During"/>
    <n v="9.7525418660287078E-2"/>
  </r>
  <r>
    <x v="32"/>
    <x v="3"/>
    <d v="2024-08-21T00:00:00"/>
    <x v="4"/>
    <s v="Check out our latest image on facebook!"/>
    <n v="1407"/>
    <n v="400"/>
    <n v="351"/>
    <n v="16884"/>
    <n v="15954"/>
    <n v="113"/>
    <x v="2"/>
    <x v="0"/>
    <n v="0.12781331438047855"/>
    <n v="2158"/>
    <n v="9566"/>
    <s v="During"/>
    <n v="0.22559063349362324"/>
  </r>
  <r>
    <x v="33"/>
    <x v="3"/>
    <d v="2025-03-26T00:00:00"/>
    <x v="1"/>
    <s v="Check out our latest text on facebook!"/>
    <n v="1652"/>
    <n v="89"/>
    <n v="357"/>
    <n v="29736"/>
    <n v="28771"/>
    <n v="215"/>
    <x v="2"/>
    <x v="2"/>
    <n v="7.055421038471886E-2"/>
    <n v="2098"/>
    <n v="9566"/>
    <s v="During"/>
    <n v="0.21931841940204894"/>
  </r>
  <r>
    <x v="34"/>
    <x v="2"/>
    <d v="2024-11-30T00:00:00"/>
    <x v="5"/>
    <s v="Check out our latest video on instagram!"/>
    <n v="3775"/>
    <n v="16"/>
    <n v="239"/>
    <n v="33975"/>
    <n v="33310"/>
    <n v="271"/>
    <x v="0"/>
    <x v="1"/>
    <n v="0.11861662987490802"/>
    <n v="4030"/>
    <n v="5904"/>
    <s v="During"/>
    <n v="0.68258807588075876"/>
  </r>
  <r>
    <x v="35"/>
    <x v="2"/>
    <d v="2025-04-19T00:00:00"/>
    <x v="2"/>
    <s v="Check out our latest story on instagram!"/>
    <n v="4518"/>
    <n v="285"/>
    <n v="383"/>
    <n v="67770"/>
    <n v="67621"/>
    <n v="31"/>
    <x v="4"/>
    <x v="1"/>
    <n v="7.6523535487678915E-2"/>
    <n v="5186"/>
    <n v="5904"/>
    <s v="During"/>
    <n v="0.87838753387533874"/>
  </r>
  <r>
    <x v="36"/>
    <x v="3"/>
    <d v="2025-01-06T00:00:00"/>
    <x v="3"/>
    <s v="Check out our latest carousel on facebook!"/>
    <n v="3024"/>
    <n v="925"/>
    <n v="350"/>
    <n v="24192"/>
    <n v="23518"/>
    <n v="36"/>
    <x v="4"/>
    <x v="1"/>
    <n v="0.17770337301587302"/>
    <n v="4299"/>
    <n v="9566"/>
    <s v="During"/>
    <n v="0.44940413966130044"/>
  </r>
  <r>
    <x v="37"/>
    <x v="1"/>
    <d v="2025-02-17T00:00:00"/>
    <x v="0"/>
    <s v="Check out our latest reel on youtube!"/>
    <n v="3138"/>
    <n v="123"/>
    <n v="291"/>
    <n v="28242"/>
    <n v="27550"/>
    <n v="87"/>
    <x v="2"/>
    <x v="3"/>
    <n v="0.12577012959422137"/>
    <n v="3552"/>
    <n v="30671"/>
    <s v="Before"/>
    <n v="0.11580972253920642"/>
  </r>
  <r>
    <x v="38"/>
    <x v="3"/>
    <d v="2024-11-25T00:00:00"/>
    <x v="4"/>
    <s v="Check out our latest image on facebook!"/>
    <n v="3564"/>
    <n v="629"/>
    <n v="177"/>
    <n v="60588"/>
    <n v="59627"/>
    <n v="92"/>
    <x v="2"/>
    <x v="4"/>
    <n v="7.2126493695121141E-2"/>
    <n v="4370"/>
    <n v="9566"/>
    <s v="Not Found"/>
    <n v="0.45682625966966339"/>
  </r>
  <r>
    <x v="39"/>
    <x v="0"/>
    <d v="2025-03-07T00:00:00"/>
    <x v="4"/>
    <s v="Check out our latest image on twitter!"/>
    <n v="4750"/>
    <n v="151"/>
    <n v="415"/>
    <n v="38000"/>
    <n v="37792"/>
    <n v="299"/>
    <x v="4"/>
    <x v="3"/>
    <n v="0.13989473684210527"/>
    <n v="5316"/>
    <n v="26752"/>
    <s v="During"/>
    <n v="0.1987141148325359"/>
  </r>
  <r>
    <x v="40"/>
    <x v="2"/>
    <d v="2025-03-08T00:00:00"/>
    <x v="0"/>
    <s v="Check out our latest reel on instagram!"/>
    <n v="456"/>
    <n v="629"/>
    <n v="428"/>
    <n v="8208"/>
    <n v="7377"/>
    <n v="205"/>
    <x v="0"/>
    <x v="3"/>
    <n v="0.18433235867446393"/>
    <n v="1513"/>
    <n v="5904"/>
    <s v="During"/>
    <n v="0.25626693766937669"/>
  </r>
  <r>
    <x v="41"/>
    <x v="1"/>
    <d v="2025-03-05T00:00:00"/>
    <x v="0"/>
    <s v="Check out our latest reel on youtube!"/>
    <n v="1543"/>
    <n v="820"/>
    <n v="333"/>
    <n v="12344"/>
    <n v="11496"/>
    <n v="241"/>
    <x v="4"/>
    <x v="4"/>
    <n v="0.21840570317563188"/>
    <n v="2696"/>
    <n v="30671"/>
    <s v="Not Found"/>
    <n v="8.7900622738091364E-2"/>
  </r>
  <r>
    <x v="42"/>
    <x v="2"/>
    <d v="2024-12-14T00:00:00"/>
    <x v="3"/>
    <s v="Check out our latest carousel on instagram!"/>
    <n v="2174"/>
    <n v="658"/>
    <n v="15"/>
    <n v="13044"/>
    <n v="12206"/>
    <n v="137"/>
    <x v="2"/>
    <x v="2"/>
    <n v="0.21826126954921804"/>
    <n v="2847"/>
    <n v="5904"/>
    <s v="Before"/>
    <n v="0.48221544715447157"/>
  </r>
  <r>
    <x v="43"/>
    <x v="0"/>
    <d v="2025-03-02T00:00:00"/>
    <x v="4"/>
    <s v="Check out our latest image on twitter!"/>
    <n v="2358"/>
    <n v="784"/>
    <n v="344"/>
    <n v="35370"/>
    <n v="34475"/>
    <n v="216"/>
    <x v="2"/>
    <x v="4"/>
    <n v="9.8558100084817649E-2"/>
    <n v="3486"/>
    <n v="26752"/>
    <s v="Not Found"/>
    <n v="0.130308014354067"/>
  </r>
  <r>
    <x v="44"/>
    <x v="3"/>
    <d v="2024-11-01T00:00:00"/>
    <x v="5"/>
    <s v="Check out our latest video on facebook!"/>
    <n v="3371"/>
    <n v="106"/>
    <n v="327"/>
    <n v="50565"/>
    <n v="49816"/>
    <n v="176"/>
    <x v="0"/>
    <x v="0"/>
    <n v="7.5229902106199939E-2"/>
    <n v="3804"/>
    <n v="9566"/>
    <s v="During"/>
    <n v="0.39765837340581223"/>
  </r>
  <r>
    <x v="45"/>
    <x v="0"/>
    <d v="2025-05-02T00:00:00"/>
    <x v="5"/>
    <s v="Check out our latest video on twitter!"/>
    <n v="1108"/>
    <n v="177"/>
    <n v="212"/>
    <n v="8864"/>
    <n v="8710"/>
    <n v="97"/>
    <x v="2"/>
    <x v="3"/>
    <n v="0.16888537906137185"/>
    <n v="1497"/>
    <n v="26752"/>
    <s v="During"/>
    <n v="5.5958433014354068E-2"/>
  </r>
  <r>
    <x v="46"/>
    <x v="0"/>
    <d v="2025-02-24T00:00:00"/>
    <x v="3"/>
    <s v="Check out our latest carousel on twitter!"/>
    <n v="2704"/>
    <n v="752"/>
    <n v="153"/>
    <n v="21632"/>
    <n v="20792"/>
    <n v="127"/>
    <x v="0"/>
    <x v="4"/>
    <n v="0.16683616863905326"/>
    <n v="3609"/>
    <n v="26752"/>
    <s v="Not Found"/>
    <n v="0.1349058014354067"/>
  </r>
  <r>
    <x v="47"/>
    <x v="0"/>
    <d v="2025-03-11T00:00:00"/>
    <x v="2"/>
    <s v="Check out our latest story on twitter!"/>
    <n v="1950"/>
    <n v="295"/>
    <n v="478"/>
    <n v="37050"/>
    <n v="36272"/>
    <n v="119"/>
    <x v="2"/>
    <x v="4"/>
    <n v="7.349527665317139E-2"/>
    <n v="2723"/>
    <n v="26752"/>
    <s v="Not Found"/>
    <n v="0.10178678229665072"/>
  </r>
  <r>
    <x v="48"/>
    <x v="0"/>
    <d v="2024-06-10T00:00:00"/>
    <x v="2"/>
    <s v="Check out our latest story on twitter!"/>
    <n v="2164"/>
    <n v="549"/>
    <n v="274"/>
    <n v="28132"/>
    <n v="27361"/>
    <n v="177"/>
    <x v="2"/>
    <x v="3"/>
    <n v="0.10617801791554102"/>
    <n v="2987"/>
    <n v="26752"/>
    <s v="Before"/>
    <n v="0.11165520334928229"/>
  </r>
  <r>
    <x v="49"/>
    <x v="1"/>
    <d v="2024-07-03T00:00:00"/>
    <x v="2"/>
    <s v="Check out our latest story on youtube!"/>
    <n v="2754"/>
    <n v="130"/>
    <n v="90"/>
    <n v="22032"/>
    <n v="21288"/>
    <n v="112"/>
    <x v="2"/>
    <x v="2"/>
    <n v="0.13498547567175018"/>
    <n v="2974"/>
    <n v="30671"/>
    <s v="Before"/>
    <n v="9.6964559355743205E-2"/>
  </r>
  <r>
    <x v="50"/>
    <x v="3"/>
    <d v="2024-06-13T00:00:00"/>
    <x v="3"/>
    <s v="Check out our latest carousel on facebook!"/>
    <n v="2200"/>
    <n v="504"/>
    <n v="239"/>
    <n v="37400"/>
    <n v="36938"/>
    <n v="225"/>
    <x v="0"/>
    <x v="1"/>
    <n v="7.8689839572192513E-2"/>
    <n v="2943"/>
    <n v="9566"/>
    <s v="Before"/>
    <n v="0.30765210119172065"/>
  </r>
  <r>
    <x v="51"/>
    <x v="3"/>
    <d v="2025-01-03T00:00:00"/>
    <x v="4"/>
    <s v="Check out our latest image on facebook!"/>
    <n v="947"/>
    <n v="338"/>
    <n v="350"/>
    <n v="10417"/>
    <n v="9730"/>
    <n v="34"/>
    <x v="2"/>
    <x v="3"/>
    <n v="0.1569549774407219"/>
    <n v="1635"/>
    <n v="9566"/>
    <s v="Before"/>
    <n v="0.17091783399540036"/>
  </r>
  <r>
    <x v="52"/>
    <x v="1"/>
    <d v="2025-02-24T00:00:00"/>
    <x v="3"/>
    <s v="Check out our latest carousel on youtube!"/>
    <n v="804"/>
    <n v="639"/>
    <n v="43"/>
    <n v="4020"/>
    <n v="3144"/>
    <n v="11"/>
    <x v="4"/>
    <x v="4"/>
    <n v="0.36965174129353234"/>
    <n v="1486"/>
    <n v="30671"/>
    <s v="Not Found"/>
    <n v="4.8449675589318904E-2"/>
  </r>
  <r>
    <x v="52"/>
    <x v="1"/>
    <d v="2025-02-24T00:00:00"/>
    <x v="3"/>
    <s v="Check out our latest carousel on youtube!"/>
    <n v="804"/>
    <n v="639"/>
    <n v="43"/>
    <n v="4020"/>
    <n v="3144"/>
    <n v="11"/>
    <x v="3"/>
    <x v="4"/>
    <n v="0.36965174129353234"/>
    <n v="1486"/>
    <n v="30671"/>
    <s v="Not Found"/>
    <n v="4.8449675589318904E-2"/>
  </r>
  <r>
    <x v="53"/>
    <x v="1"/>
    <d v="2025-03-13T00:00:00"/>
    <x v="3"/>
    <s v="Check out our latest carousel on youtube!"/>
    <n v="1686"/>
    <n v="904"/>
    <n v="472"/>
    <n v="18546"/>
    <n v="18171"/>
    <n v="52"/>
    <x v="0"/>
    <x v="1"/>
    <n v="0.16510298716704411"/>
    <n v="3062"/>
    <n v="30671"/>
    <s v="During"/>
    <n v="9.9833719148381211E-2"/>
  </r>
  <r>
    <x v="54"/>
    <x v="3"/>
    <d v="2024-06-17T00:00:00"/>
    <x v="4"/>
    <s v="Check out our latest image on facebook!"/>
    <n v="1226"/>
    <n v="119"/>
    <n v="7"/>
    <n v="14712"/>
    <n v="14049"/>
    <n v="123"/>
    <x v="4"/>
    <x v="3"/>
    <n v="9.1897770527460579E-2"/>
    <n v="1352"/>
    <n v="9566"/>
    <s v="Before"/>
    <n v="0.14133389086347481"/>
  </r>
  <r>
    <x v="55"/>
    <x v="3"/>
    <d v="2024-12-18T00:00:00"/>
    <x v="3"/>
    <s v="Check out our latest carousel on facebook!"/>
    <n v="2946"/>
    <n v="498"/>
    <n v="367"/>
    <n v="29460"/>
    <n v="28527"/>
    <n v="60"/>
    <x v="0"/>
    <x v="2"/>
    <n v="0.12936184657162253"/>
    <n v="3811"/>
    <n v="9566"/>
    <s v="Before"/>
    <n v="0.3983901317164959"/>
  </r>
  <r>
    <x v="56"/>
    <x v="0"/>
    <d v="2024-10-21T00:00:00"/>
    <x v="5"/>
    <s v="Check out our latest video on twitter!"/>
    <n v="2825"/>
    <n v="535"/>
    <n v="295"/>
    <n v="45200"/>
    <n v="44739"/>
    <n v="169"/>
    <x v="2"/>
    <x v="0"/>
    <n v="8.0862831858407078E-2"/>
    <n v="3655"/>
    <n v="26752"/>
    <s v="During"/>
    <n v="0.1366252990430622"/>
  </r>
  <r>
    <x v="57"/>
    <x v="2"/>
    <d v="2025-04-15T00:00:00"/>
    <x v="0"/>
    <s v="Check out our latest reel on instagram!"/>
    <n v="103"/>
    <n v="770"/>
    <n v="19"/>
    <n v="1030"/>
    <n v="410"/>
    <n v="262"/>
    <x v="2"/>
    <x v="3"/>
    <n v="0.86601941747572819"/>
    <n v="892"/>
    <n v="5904"/>
    <s v="During"/>
    <n v="0.15108401084010839"/>
  </r>
  <r>
    <x v="58"/>
    <x v="2"/>
    <d v="2024-06-22T00:00:00"/>
    <x v="1"/>
    <s v="Check out our latest text on instagram!"/>
    <n v="2180"/>
    <n v="263"/>
    <n v="387"/>
    <n v="30520"/>
    <n v="30059"/>
    <n v="174"/>
    <x v="4"/>
    <x v="4"/>
    <n v="9.2726081258191345E-2"/>
    <n v="2830"/>
    <n v="5904"/>
    <s v="Not Found"/>
    <n v="0.47933604336043362"/>
  </r>
  <r>
    <x v="59"/>
    <x v="2"/>
    <d v="2025-01-28T00:00:00"/>
    <x v="5"/>
    <s v="Check out our latest video on instagram!"/>
    <n v="904"/>
    <n v="973"/>
    <n v="63"/>
    <n v="11752"/>
    <n v="11580"/>
    <n v="84"/>
    <x v="4"/>
    <x v="2"/>
    <n v="0.1650782845473111"/>
    <n v="1940"/>
    <n v="5904"/>
    <s v="During"/>
    <n v="0.32859078590785906"/>
  </r>
  <r>
    <x v="59"/>
    <x v="2"/>
    <d v="2025-01-28T00:00:00"/>
    <x v="5"/>
    <s v="Check out our latest video on instagram!"/>
    <n v="904"/>
    <n v="973"/>
    <n v="63"/>
    <n v="11752"/>
    <n v="11580"/>
    <n v="84"/>
    <x v="2"/>
    <x v="2"/>
    <n v="0.1650782845473111"/>
    <n v="1940"/>
    <n v="5904"/>
    <s v="During"/>
    <n v="0.32859078590785906"/>
  </r>
  <r>
    <x v="59"/>
    <x v="2"/>
    <d v="2025-01-28T00:00:00"/>
    <x v="5"/>
    <s v="Check out our latest video on instagram!"/>
    <n v="904"/>
    <n v="973"/>
    <n v="63"/>
    <n v="11752"/>
    <n v="11580"/>
    <n v="84"/>
    <x v="1"/>
    <x v="2"/>
    <n v="0.1650782845473111"/>
    <n v="1940"/>
    <n v="5904"/>
    <s v="During"/>
    <n v="0.32859078590785906"/>
  </r>
  <r>
    <x v="60"/>
    <x v="0"/>
    <d v="2024-09-05T00:00:00"/>
    <x v="5"/>
    <s v="Check out our latest video on twitter!"/>
    <n v="4886"/>
    <n v="983"/>
    <n v="409"/>
    <n v="43974"/>
    <n v="43239"/>
    <n v="65"/>
    <x v="2"/>
    <x v="0"/>
    <n v="0.14276618001546368"/>
    <n v="6278"/>
    <n v="26752"/>
    <s v="During"/>
    <n v="0.23467404306220097"/>
  </r>
  <r>
    <x v="61"/>
    <x v="0"/>
    <d v="2024-11-22T00:00:00"/>
    <x v="3"/>
    <s v="Check out our latest carousel on twitter!"/>
    <n v="53"/>
    <n v="81"/>
    <n v="379"/>
    <n v="954"/>
    <n v="7"/>
    <n v="148"/>
    <x v="2"/>
    <x v="2"/>
    <n v="0.53773584905660377"/>
    <n v="513"/>
    <n v="26752"/>
    <s v="Before"/>
    <n v="1.9176136363636364E-2"/>
  </r>
  <r>
    <x v="62"/>
    <x v="0"/>
    <d v="2024-07-31T00:00:00"/>
    <x v="3"/>
    <s v="Check out our latest carousel on twitter!"/>
    <n v="4507"/>
    <n v="217"/>
    <n v="13"/>
    <n v="90140"/>
    <n v="89591"/>
    <n v="125"/>
    <x v="0"/>
    <x v="2"/>
    <n v="5.2551586421122697E-2"/>
    <n v="4737"/>
    <n v="26752"/>
    <s v="Before"/>
    <n v="0.17707087320574164"/>
  </r>
  <r>
    <x v="63"/>
    <x v="3"/>
    <d v="2024-08-17T00:00:00"/>
    <x v="4"/>
    <s v="Check out our latest image on facebook!"/>
    <n v="2878"/>
    <n v="248"/>
    <n v="416"/>
    <n v="43170"/>
    <n v="42667"/>
    <n v="75"/>
    <x v="0"/>
    <x v="2"/>
    <n v="8.2047718322909427E-2"/>
    <n v="3542"/>
    <n v="9566"/>
    <s v="Before"/>
    <n v="0.37026970520593772"/>
  </r>
  <r>
    <x v="64"/>
    <x v="2"/>
    <d v="2025-03-28T00:00:00"/>
    <x v="2"/>
    <s v="Check out our latest story on instagram!"/>
    <n v="1881"/>
    <n v="501"/>
    <n v="99"/>
    <n v="20691"/>
    <n v="19987"/>
    <n v="289"/>
    <x v="4"/>
    <x v="4"/>
    <n v="0.11990720603160794"/>
    <n v="2481"/>
    <n v="5904"/>
    <s v="Not Found"/>
    <n v="0.42022357723577236"/>
  </r>
  <r>
    <x v="65"/>
    <x v="0"/>
    <d v="2024-07-26T00:00:00"/>
    <x v="3"/>
    <s v="Check out our latest carousel on twitter!"/>
    <n v="432"/>
    <n v="171"/>
    <n v="280"/>
    <n v="3024"/>
    <n v="2285"/>
    <n v="184"/>
    <x v="4"/>
    <x v="0"/>
    <n v="0.29199735449735448"/>
    <n v="883"/>
    <n v="26752"/>
    <s v="During"/>
    <n v="3.3006877990430623E-2"/>
  </r>
  <r>
    <x v="66"/>
    <x v="3"/>
    <d v="2025-03-29T00:00:00"/>
    <x v="3"/>
    <s v="Check out our latest carousel on facebook!"/>
    <n v="4712"/>
    <n v="568"/>
    <n v="127"/>
    <n v="84816"/>
    <n v="84691"/>
    <n v="100"/>
    <x v="4"/>
    <x v="2"/>
    <n v="6.3749764195434822E-2"/>
    <n v="5407"/>
    <n v="9566"/>
    <s v="During"/>
    <n v="0.56523102655237301"/>
  </r>
  <r>
    <x v="67"/>
    <x v="2"/>
    <d v="2024-12-08T00:00:00"/>
    <x v="2"/>
    <s v="Check out our latest story on instagram!"/>
    <n v="2610"/>
    <n v="126"/>
    <n v="288"/>
    <n v="15660"/>
    <n v="15145"/>
    <n v="73"/>
    <x v="4"/>
    <x v="4"/>
    <n v="0.19310344827586207"/>
    <n v="3024"/>
    <n v="5904"/>
    <s v="Not Found"/>
    <n v="0.51219512195121952"/>
  </r>
  <r>
    <x v="68"/>
    <x v="0"/>
    <d v="2025-03-08T00:00:00"/>
    <x v="1"/>
    <s v="Check out our latest text on twitter!"/>
    <n v="1292"/>
    <n v="626"/>
    <n v="496"/>
    <n v="25840"/>
    <n v="24916"/>
    <n v="149"/>
    <x v="0"/>
    <x v="2"/>
    <n v="9.3421052631578946E-2"/>
    <n v="2414"/>
    <n v="26752"/>
    <s v="During"/>
    <n v="9.0236244019138753E-2"/>
  </r>
  <r>
    <x v="69"/>
    <x v="3"/>
    <d v="2025-04-02T00:00:00"/>
    <x v="5"/>
    <s v="Check out our latest video on facebook!"/>
    <n v="199"/>
    <n v="772"/>
    <n v="400"/>
    <n v="3582"/>
    <n v="2988"/>
    <n v="43"/>
    <x v="2"/>
    <x v="4"/>
    <n v="0.38274706867671693"/>
    <n v="1371"/>
    <n v="9566"/>
    <s v="Not Found"/>
    <n v="0.14332009199247334"/>
  </r>
  <r>
    <x v="70"/>
    <x v="1"/>
    <d v="2024-09-02T00:00:00"/>
    <x v="3"/>
    <s v="Check out our latest carousel on youtube!"/>
    <n v="2551"/>
    <n v="915"/>
    <n v="205"/>
    <n v="30612"/>
    <n v="30360"/>
    <n v="227"/>
    <x v="2"/>
    <x v="1"/>
    <n v="0.1199202926956749"/>
    <n v="3671"/>
    <n v="30671"/>
    <s v="Before"/>
    <n v="0.11968960907697826"/>
  </r>
  <r>
    <x v="71"/>
    <x v="1"/>
    <d v="2025-03-03T00:00:00"/>
    <x v="0"/>
    <s v="Check out our latest reel on youtube!"/>
    <n v="296"/>
    <n v="60"/>
    <n v="141"/>
    <n v="5624"/>
    <n v="5239"/>
    <n v="88"/>
    <x v="4"/>
    <x v="1"/>
    <n v="8.837126600284495E-2"/>
    <n v="497"/>
    <n v="30671"/>
    <s v="During"/>
    <n v="1.6204232010694142E-2"/>
  </r>
  <r>
    <x v="72"/>
    <x v="3"/>
    <d v="2024-10-18T00:00:00"/>
    <x v="2"/>
    <s v="Check out our latest story on facebook!"/>
    <n v="4126"/>
    <n v="426"/>
    <n v="486"/>
    <n v="78394"/>
    <n v="77798"/>
    <n v="88"/>
    <x v="0"/>
    <x v="3"/>
    <n v="6.4265122330790625E-2"/>
    <n v="5038"/>
    <n v="9566"/>
    <s v="Before"/>
    <n v="0.52665690988919089"/>
  </r>
  <r>
    <x v="73"/>
    <x v="1"/>
    <d v="2024-10-28T00:00:00"/>
    <x v="0"/>
    <s v="Check out our latest reel on youtube!"/>
    <n v="1855"/>
    <n v="200"/>
    <n v="174"/>
    <n v="16695"/>
    <n v="16330"/>
    <n v="123"/>
    <x v="2"/>
    <x v="2"/>
    <n v="0.13351302785265048"/>
    <n v="2229"/>
    <n v="30671"/>
    <s v="Before"/>
    <n v="7.2674513383978345E-2"/>
  </r>
  <r>
    <x v="74"/>
    <x v="2"/>
    <d v="2024-08-01T00:00:00"/>
    <x v="0"/>
    <s v="Check out our latest reel on instagram!"/>
    <n v="1674"/>
    <n v="929"/>
    <n v="37"/>
    <n v="21762"/>
    <n v="20998"/>
    <n v="255"/>
    <x v="2"/>
    <x v="3"/>
    <n v="0.12131237937689551"/>
    <n v="2640"/>
    <n v="5904"/>
    <s v="Before"/>
    <n v="0.44715447154471544"/>
  </r>
  <r>
    <x v="75"/>
    <x v="0"/>
    <d v="2024-11-07T00:00:00"/>
    <x v="2"/>
    <s v="Check out our latest story on twitter!"/>
    <n v="1121"/>
    <n v="135"/>
    <n v="18"/>
    <n v="15694"/>
    <n v="14957"/>
    <n v="99"/>
    <x v="2"/>
    <x v="3"/>
    <n v="8.1177520071364848E-2"/>
    <n v="1274"/>
    <n v="26752"/>
    <s v="Before"/>
    <n v="4.7622607655502393E-2"/>
  </r>
  <r>
    <x v="76"/>
    <x v="3"/>
    <d v="2025-03-04T00:00:00"/>
    <x v="2"/>
    <s v="Check out our latest story on facebook!"/>
    <n v="1249"/>
    <n v="116"/>
    <n v="420"/>
    <n v="8743"/>
    <n v="8538"/>
    <n v="63"/>
    <x v="2"/>
    <x v="4"/>
    <n v="0.20416333066453163"/>
    <n v="1785"/>
    <n v="9566"/>
    <s v="Not Found"/>
    <n v="0.1865983692243362"/>
  </r>
  <r>
    <x v="77"/>
    <x v="0"/>
    <d v="2024-06-17T00:00:00"/>
    <x v="4"/>
    <s v="Check out our latest image on twitter!"/>
    <n v="954"/>
    <n v="324"/>
    <n v="288"/>
    <n v="19080"/>
    <n v="18859"/>
    <n v="21"/>
    <x v="0"/>
    <x v="3"/>
    <n v="8.2075471698113203E-2"/>
    <n v="1566"/>
    <n v="26752"/>
    <s v="Before"/>
    <n v="5.8537679425837319E-2"/>
  </r>
  <r>
    <x v="78"/>
    <x v="2"/>
    <d v="2024-10-09T00:00:00"/>
    <x v="3"/>
    <s v="Check out our latest carousel on instagram!"/>
    <n v="3068"/>
    <n v="137"/>
    <n v="329"/>
    <n v="39884"/>
    <n v="39404"/>
    <n v="266"/>
    <x v="4"/>
    <x v="1"/>
    <n v="8.860696018453515E-2"/>
    <n v="3534"/>
    <n v="5904"/>
    <s v="During"/>
    <n v="0.59857723577235777"/>
  </r>
  <r>
    <x v="79"/>
    <x v="2"/>
    <d v="2024-06-13T00:00:00"/>
    <x v="2"/>
    <s v="Check out our latest story on instagram!"/>
    <n v="2103"/>
    <n v="892"/>
    <n v="103"/>
    <n v="39957"/>
    <n v="39466"/>
    <n v="28"/>
    <x v="0"/>
    <x v="4"/>
    <n v="7.7533348349475686E-2"/>
    <n v="3098"/>
    <n v="5904"/>
    <s v="Not Found"/>
    <n v="0.52472899728997291"/>
  </r>
  <r>
    <x v="80"/>
    <x v="2"/>
    <d v="2024-10-19T00:00:00"/>
    <x v="2"/>
    <s v="Check out our latest story on instagram!"/>
    <n v="1816"/>
    <n v="29"/>
    <n v="41"/>
    <n v="19976"/>
    <n v="19262"/>
    <n v="283"/>
    <x v="2"/>
    <x v="2"/>
    <n v="9.4413295955146179E-2"/>
    <n v="1886"/>
    <n v="5904"/>
    <s v="Before"/>
    <n v="0.31944444444444442"/>
  </r>
  <r>
    <x v="81"/>
    <x v="2"/>
    <d v="2024-07-24T00:00:00"/>
    <x v="4"/>
    <s v="Check out our latest image on instagram!"/>
    <n v="725"/>
    <n v="88"/>
    <n v="428"/>
    <n v="14500"/>
    <n v="13637"/>
    <n v="200"/>
    <x v="0"/>
    <x v="2"/>
    <n v="8.558620689655172E-2"/>
    <n v="1241"/>
    <n v="5904"/>
    <s v="Before"/>
    <n v="0.21019647696476965"/>
  </r>
  <r>
    <x v="81"/>
    <x v="2"/>
    <d v="2024-07-24T00:00:00"/>
    <x v="4"/>
    <s v="Check out our latest image on instagram!"/>
    <n v="725"/>
    <n v="88"/>
    <n v="428"/>
    <n v="14500"/>
    <n v="13637"/>
    <n v="200"/>
    <x v="2"/>
    <x v="2"/>
    <n v="8.558620689655172E-2"/>
    <n v="1241"/>
    <n v="5904"/>
    <s v="Before"/>
    <n v="0.21019647696476965"/>
  </r>
  <r>
    <x v="81"/>
    <x v="2"/>
    <d v="2024-07-24T00:00:00"/>
    <x v="4"/>
    <s v="Check out our latest image on instagram!"/>
    <n v="725"/>
    <n v="88"/>
    <n v="428"/>
    <n v="14500"/>
    <n v="13637"/>
    <n v="200"/>
    <x v="1"/>
    <x v="2"/>
    <n v="8.558620689655172E-2"/>
    <n v="1241"/>
    <n v="5904"/>
    <s v="Before"/>
    <n v="0.21019647696476965"/>
  </r>
  <r>
    <x v="82"/>
    <x v="1"/>
    <d v="2024-10-15T00:00:00"/>
    <x v="5"/>
    <s v="Check out our latest video on youtube!"/>
    <n v="1094"/>
    <n v="472"/>
    <n v="21"/>
    <n v="9846"/>
    <n v="9609"/>
    <n v="112"/>
    <x v="4"/>
    <x v="4"/>
    <n v="0.16118220597196831"/>
    <n v="1587"/>
    <n v="30671"/>
    <s v="Not Found"/>
    <n v="5.1742688533142053E-2"/>
  </r>
  <r>
    <x v="83"/>
    <x v="3"/>
    <d v="2024-12-09T00:00:00"/>
    <x v="4"/>
    <s v="Check out our latest image on facebook!"/>
    <n v="1841"/>
    <n v="851"/>
    <n v="342"/>
    <n v="34979"/>
    <n v="34154"/>
    <n v="255"/>
    <x v="0"/>
    <x v="3"/>
    <n v="8.6737756939878216E-2"/>
    <n v="3034"/>
    <n v="9566"/>
    <s v="Before"/>
    <n v="0.31716495923060839"/>
  </r>
  <r>
    <x v="84"/>
    <x v="2"/>
    <d v="2025-04-19T00:00:00"/>
    <x v="4"/>
    <s v="Check out our latest image on instagram!"/>
    <n v="4177"/>
    <n v="569"/>
    <n v="55"/>
    <n v="25062"/>
    <n v="24847"/>
    <n v="230"/>
    <x v="0"/>
    <x v="0"/>
    <n v="0.19156491900087783"/>
    <n v="4801"/>
    <n v="5904"/>
    <s v="During"/>
    <n v="0.81317750677506773"/>
  </r>
  <r>
    <x v="85"/>
    <x v="1"/>
    <d v="2025-01-27T00:00:00"/>
    <x v="1"/>
    <s v="Check out our latest text on youtube!"/>
    <n v="3428"/>
    <n v="305"/>
    <n v="85"/>
    <n v="58276"/>
    <n v="58052"/>
    <n v="242"/>
    <x v="4"/>
    <x v="3"/>
    <n v="6.5515821264328367E-2"/>
    <n v="3818"/>
    <n v="30671"/>
    <s v="Before"/>
    <n v="0.12448241009422581"/>
  </r>
  <r>
    <x v="85"/>
    <x v="1"/>
    <d v="2025-01-27T00:00:00"/>
    <x v="1"/>
    <s v="Check out our latest text on youtube!"/>
    <n v="3428"/>
    <n v="305"/>
    <n v="85"/>
    <n v="58276"/>
    <n v="58052"/>
    <n v="242"/>
    <x v="3"/>
    <x v="3"/>
    <n v="6.5515821264328367E-2"/>
    <n v="3818"/>
    <n v="30671"/>
    <s v="Before"/>
    <n v="0.12448241009422581"/>
  </r>
  <r>
    <x v="86"/>
    <x v="0"/>
    <d v="2024-06-06T00:00:00"/>
    <x v="5"/>
    <s v="Check out our latest video on twitter!"/>
    <n v="1436"/>
    <n v="765"/>
    <n v="496"/>
    <n v="12924"/>
    <n v="12701"/>
    <n v="197"/>
    <x v="0"/>
    <x v="2"/>
    <n v="0.20868152274837512"/>
    <n v="2697"/>
    <n v="26752"/>
    <s v="Before"/>
    <n v="0.10081489234449761"/>
  </r>
  <r>
    <x v="87"/>
    <x v="3"/>
    <d v="2024-07-07T00:00:00"/>
    <x v="2"/>
    <s v="Check out our latest story on facebook!"/>
    <n v="302"/>
    <n v="47"/>
    <n v="430"/>
    <n v="5738"/>
    <n v="4890"/>
    <n v="25"/>
    <x v="2"/>
    <x v="3"/>
    <n v="0.13576158940397351"/>
    <n v="779"/>
    <n v="9566"/>
    <s v="Before"/>
    <n v="8.1434246288939999E-2"/>
  </r>
  <r>
    <x v="88"/>
    <x v="0"/>
    <d v="2025-01-10T00:00:00"/>
    <x v="4"/>
    <s v="Check out our latest image on twitter!"/>
    <n v="2214"/>
    <n v="249"/>
    <n v="152"/>
    <n v="15498"/>
    <n v="14800"/>
    <n v="180"/>
    <x v="4"/>
    <x v="4"/>
    <n v="0.16873144921925409"/>
    <n v="2615"/>
    <n v="26752"/>
    <s v="Not Found"/>
    <n v="9.7749700956937802E-2"/>
  </r>
  <r>
    <x v="89"/>
    <x v="2"/>
    <d v="2024-06-03T00:00:00"/>
    <x v="4"/>
    <s v="Check out our latest image on instagram!"/>
    <n v="3861"/>
    <n v="960"/>
    <n v="101"/>
    <n v="69498"/>
    <n v="68817"/>
    <n v="297"/>
    <x v="2"/>
    <x v="3"/>
    <n v="7.0822181933293038E-2"/>
    <n v="4922"/>
    <n v="5904"/>
    <s v="Before"/>
    <n v="0.83367208672086723"/>
  </r>
  <r>
    <x v="90"/>
    <x v="3"/>
    <d v="2025-03-24T00:00:00"/>
    <x v="4"/>
    <s v="Check out our latest image on facebook!"/>
    <n v="1263"/>
    <n v="397"/>
    <n v="357"/>
    <n v="25260"/>
    <n v="24615"/>
    <n v="137"/>
    <x v="4"/>
    <x v="3"/>
    <n v="7.984956452889945E-2"/>
    <n v="2017"/>
    <n v="9566"/>
    <s v="During"/>
    <n v="0.21085093037842359"/>
  </r>
  <r>
    <x v="91"/>
    <x v="0"/>
    <d v="2024-10-21T00:00:00"/>
    <x v="2"/>
    <s v="Check out our latest story on twitter!"/>
    <n v="3801"/>
    <n v="967"/>
    <n v="401"/>
    <n v="38010"/>
    <n v="37625"/>
    <n v="236"/>
    <x v="0"/>
    <x v="2"/>
    <n v="0.13599052880820836"/>
    <n v="5169"/>
    <n v="26752"/>
    <s v="Before"/>
    <n v="0.1932191985645933"/>
  </r>
  <r>
    <x v="92"/>
    <x v="2"/>
    <d v="2024-12-11T00:00:00"/>
    <x v="5"/>
    <s v="Check out our latest video on instagram!"/>
    <n v="1431"/>
    <n v="951"/>
    <n v="26"/>
    <n v="8586"/>
    <n v="8396"/>
    <n v="150"/>
    <x v="4"/>
    <x v="2"/>
    <n v="0.28045655718611695"/>
    <n v="2408"/>
    <n v="5904"/>
    <s v="Before"/>
    <n v="0.40785907859078591"/>
  </r>
  <r>
    <x v="93"/>
    <x v="2"/>
    <d v="2024-11-07T00:00:00"/>
    <x v="4"/>
    <s v="Check out our latest image on instagram!"/>
    <n v="2647"/>
    <n v="304"/>
    <n v="170"/>
    <n v="18529"/>
    <n v="17841"/>
    <n v="46"/>
    <x v="0"/>
    <x v="2"/>
    <n v="0.16843866371633656"/>
    <n v="3121"/>
    <n v="5904"/>
    <s v="Before"/>
    <n v="0.52862466124661245"/>
  </r>
  <r>
    <x v="94"/>
    <x v="2"/>
    <d v="2024-11-08T00:00:00"/>
    <x v="1"/>
    <s v="Check out our latest text on instagram!"/>
    <n v="3182"/>
    <n v="559"/>
    <n v="160"/>
    <n v="57276"/>
    <n v="56890"/>
    <n v="163"/>
    <x v="0"/>
    <x v="3"/>
    <n v="6.8108806480899509E-2"/>
    <n v="3901"/>
    <n v="5904"/>
    <s v="Before"/>
    <n v="0.6607384823848238"/>
  </r>
  <r>
    <x v="95"/>
    <x v="0"/>
    <d v="2024-09-10T00:00:00"/>
    <x v="4"/>
    <s v="Check out our latest image on twitter!"/>
    <n v="1238"/>
    <n v="366"/>
    <n v="444"/>
    <n v="19808"/>
    <n v="19334"/>
    <n v="123"/>
    <x v="0"/>
    <x v="4"/>
    <n v="0.10339256865912763"/>
    <n v="2048"/>
    <n v="26752"/>
    <s v="Not Found"/>
    <n v="7.6555023923444973E-2"/>
  </r>
  <r>
    <x v="96"/>
    <x v="2"/>
    <d v="2024-08-13T00:00:00"/>
    <x v="4"/>
    <s v="Check out our latest image on instagram!"/>
    <n v="4739"/>
    <n v="527"/>
    <n v="135"/>
    <n v="61607"/>
    <n v="61333"/>
    <n v="36"/>
    <x v="2"/>
    <x v="1"/>
    <n v="8.7668609086629767E-2"/>
    <n v="5401"/>
    <n v="5904"/>
    <s v="Before"/>
    <n v="0.91480352303523038"/>
  </r>
  <r>
    <x v="96"/>
    <x v="2"/>
    <d v="2024-08-13T00:00:00"/>
    <x v="4"/>
    <s v="Check out our latest image on instagram!"/>
    <n v="4739"/>
    <n v="527"/>
    <n v="135"/>
    <n v="61607"/>
    <n v="61333"/>
    <n v="36"/>
    <x v="1"/>
    <x v="1"/>
    <n v="8.7668609086629767E-2"/>
    <n v="5401"/>
    <n v="5904"/>
    <s v="Before"/>
    <n v="0.91480352303523038"/>
  </r>
  <r>
    <x v="97"/>
    <x v="0"/>
    <d v="2024-06-10T00:00:00"/>
    <x v="2"/>
    <s v="Check out our latest story on twitter!"/>
    <n v="1575"/>
    <n v="771"/>
    <n v="486"/>
    <n v="25200"/>
    <n v="24826"/>
    <n v="17"/>
    <x v="0"/>
    <x v="3"/>
    <n v="0.11238095238095239"/>
    <n v="2832"/>
    <n v="26752"/>
    <s v="Before"/>
    <n v="0.10586124401913875"/>
  </r>
  <r>
    <x v="98"/>
    <x v="1"/>
    <d v="2024-07-02T00:00:00"/>
    <x v="3"/>
    <s v="Check out our latest carousel on youtube!"/>
    <n v="4171"/>
    <n v="548"/>
    <n v="86"/>
    <n v="66736"/>
    <n v="66634"/>
    <n v="173"/>
    <x v="0"/>
    <x v="2"/>
    <n v="7.2000119875329657E-2"/>
    <n v="4805"/>
    <n v="30671"/>
    <s v="Before"/>
    <n v="0.15666264549574516"/>
  </r>
  <r>
    <x v="99"/>
    <x v="1"/>
    <d v="2025-02-10T00:00:00"/>
    <x v="5"/>
    <s v="Check out our latest video on youtube!"/>
    <n v="1766"/>
    <n v="92"/>
    <n v="424"/>
    <n v="24724"/>
    <n v="24333"/>
    <n v="52"/>
    <x v="4"/>
    <x v="4"/>
    <n v="9.2298980747451867E-2"/>
    <n v="2282"/>
    <n v="30671"/>
    <s v="Not Found"/>
    <n v="7.4402530077271684E-2"/>
  </r>
  <r>
    <x v="100"/>
    <x v="1"/>
    <d v="2024-10-18T00:00:00"/>
    <x v="5"/>
    <s v="Check out our latest video on youtube!"/>
    <n v="4450"/>
    <n v="983"/>
    <n v="143"/>
    <n v="75650"/>
    <n v="75008"/>
    <n v="12"/>
    <x v="0"/>
    <x v="2"/>
    <n v="7.3707865168539333E-2"/>
    <n v="5576"/>
    <n v="30671"/>
    <s v="Before"/>
    <n v="0.18180039776988036"/>
  </r>
  <r>
    <x v="101"/>
    <x v="0"/>
    <d v="2024-09-18T00:00:00"/>
    <x v="0"/>
    <s v="Check out our latest reel on twitter!"/>
    <n v="1000"/>
    <n v="978"/>
    <n v="162"/>
    <n v="6000"/>
    <n v="5221"/>
    <n v="223"/>
    <x v="4"/>
    <x v="1"/>
    <n v="0.35666666666666669"/>
    <n v="2140"/>
    <n v="26752"/>
    <s v="Before"/>
    <n v="7.9994019138755978E-2"/>
  </r>
  <r>
    <x v="102"/>
    <x v="3"/>
    <d v="2024-06-11T00:00:00"/>
    <x v="4"/>
    <s v="Check out our latest image on facebook!"/>
    <n v="3689"/>
    <n v="48"/>
    <n v="306"/>
    <n v="40579"/>
    <n v="39588"/>
    <n v="212"/>
    <x v="4"/>
    <x v="1"/>
    <n v="9.9632815002833983E-2"/>
    <n v="4043"/>
    <n v="9566"/>
    <s v="Before"/>
    <n v="0.42264269287058331"/>
  </r>
  <r>
    <x v="103"/>
    <x v="1"/>
    <d v="2025-03-23T00:00:00"/>
    <x v="2"/>
    <s v="Check out our latest story on youtube!"/>
    <n v="3655"/>
    <n v="568"/>
    <n v="286"/>
    <n v="32895"/>
    <n v="32015"/>
    <n v="199"/>
    <x v="2"/>
    <x v="2"/>
    <n v="0.13707250341997265"/>
    <n v="4509"/>
    <n v="30671"/>
    <s v="During"/>
    <n v="0.14701183528414463"/>
  </r>
  <r>
    <x v="104"/>
    <x v="2"/>
    <d v="2024-06-14T00:00:00"/>
    <x v="3"/>
    <s v="Check out our latest carousel on instagram!"/>
    <n v="498"/>
    <n v="38"/>
    <n v="42"/>
    <n v="4482"/>
    <n v="3647"/>
    <n v="32"/>
    <x v="0"/>
    <x v="0"/>
    <n v="0.12896028558679162"/>
    <n v="578"/>
    <n v="5904"/>
    <s v="Before"/>
    <n v="9.7899728997289978E-2"/>
  </r>
  <r>
    <x v="105"/>
    <x v="2"/>
    <d v="2025-02-04T00:00:00"/>
    <x v="4"/>
    <s v="Check out our latest image on instagram!"/>
    <n v="4619"/>
    <n v="821"/>
    <n v="499"/>
    <n v="69285"/>
    <n v="69141"/>
    <n v="298"/>
    <x v="2"/>
    <x v="3"/>
    <n v="8.5718409468138843E-2"/>
    <n v="5939"/>
    <n v="5904"/>
    <s v="Before"/>
    <n v="1.0059281842818428"/>
  </r>
  <r>
    <x v="106"/>
    <x v="1"/>
    <d v="2024-06-21T00:00:00"/>
    <x v="4"/>
    <s v="Check out our latest image on youtube!"/>
    <n v="4832"/>
    <n v="893"/>
    <n v="10"/>
    <n v="91808"/>
    <n v="91296"/>
    <n v="182"/>
    <x v="2"/>
    <x v="4"/>
    <n v="6.2467323109097243E-2"/>
    <n v="5735"/>
    <n v="30671"/>
    <s v="Not Found"/>
    <n v="0.18698444784976037"/>
  </r>
  <r>
    <x v="107"/>
    <x v="0"/>
    <d v="2025-03-25T00:00:00"/>
    <x v="5"/>
    <s v="Check out our latest video on twitter!"/>
    <n v="4050"/>
    <n v="871"/>
    <n v="347"/>
    <n v="52650"/>
    <n v="51755"/>
    <n v="209"/>
    <x v="2"/>
    <x v="1"/>
    <n v="0.10005698005698006"/>
    <n v="5268"/>
    <n v="26752"/>
    <s v="During"/>
    <n v="0.19691985645933013"/>
  </r>
  <r>
    <x v="108"/>
    <x v="0"/>
    <d v="2024-08-08T00:00:00"/>
    <x v="2"/>
    <s v="Check out our latest story on twitter!"/>
    <n v="3649"/>
    <n v="215"/>
    <n v="413"/>
    <n v="25543"/>
    <n v="24963"/>
    <n v="167"/>
    <x v="0"/>
    <x v="2"/>
    <n v="0.16744313510550835"/>
    <n v="4277"/>
    <n v="26752"/>
    <s v="Before"/>
    <n v="0.15987589712918659"/>
  </r>
  <r>
    <x v="109"/>
    <x v="2"/>
    <d v="2024-07-29T00:00:00"/>
    <x v="0"/>
    <s v="Check out our latest reel on instagram!"/>
    <n v="3523"/>
    <n v="753"/>
    <n v="482"/>
    <n v="38753"/>
    <n v="38579"/>
    <n v="270"/>
    <x v="4"/>
    <x v="1"/>
    <n v="0.12277759141227776"/>
    <n v="4758"/>
    <n v="5904"/>
    <s v="Before"/>
    <n v="0.80589430894308944"/>
  </r>
  <r>
    <x v="110"/>
    <x v="1"/>
    <d v="2024-11-23T00:00:00"/>
    <x v="4"/>
    <s v="Check out our latest image on youtube!"/>
    <n v="2719"/>
    <n v="17"/>
    <n v="285"/>
    <n v="40785"/>
    <n v="40281"/>
    <n v="40"/>
    <x v="2"/>
    <x v="1"/>
    <n v="7.4071349760941527E-2"/>
    <n v="3021"/>
    <n v="30671"/>
    <s v="During"/>
    <n v="9.8496951517720324E-2"/>
  </r>
  <r>
    <x v="111"/>
    <x v="0"/>
    <d v="2024-10-05T00:00:00"/>
    <x v="2"/>
    <s v="Check out our latest story on twitter!"/>
    <n v="1957"/>
    <n v="877"/>
    <n v="238"/>
    <n v="17613"/>
    <n v="16865"/>
    <n v="297"/>
    <x v="0"/>
    <x v="2"/>
    <n v="0.17441662408448305"/>
    <n v="3072"/>
    <n v="26752"/>
    <s v="Before"/>
    <n v="0.11483253588516747"/>
  </r>
  <r>
    <x v="112"/>
    <x v="0"/>
    <d v="2024-10-02T00:00:00"/>
    <x v="3"/>
    <s v="Check out our latest carousel on twitter!"/>
    <n v="4419"/>
    <n v="236"/>
    <n v="369"/>
    <n v="44190"/>
    <n v="43582"/>
    <n v="10"/>
    <x v="4"/>
    <x v="0"/>
    <n v="0.11369088028965829"/>
    <n v="5024"/>
    <n v="26752"/>
    <s v="During"/>
    <n v="0.18779904306220097"/>
  </r>
  <r>
    <x v="113"/>
    <x v="0"/>
    <d v="2024-11-14T00:00:00"/>
    <x v="2"/>
    <s v="Check out our latest story on twitter!"/>
    <n v="4000"/>
    <n v="689"/>
    <n v="488"/>
    <n v="40000"/>
    <n v="39569"/>
    <n v="44"/>
    <x v="0"/>
    <x v="0"/>
    <n v="0.12942500000000001"/>
    <n v="5177"/>
    <n v="26752"/>
    <s v="During"/>
    <n v="0.19351824162679426"/>
  </r>
  <r>
    <x v="114"/>
    <x v="0"/>
    <d v="2025-05-11T00:00:00"/>
    <x v="4"/>
    <s v="Check out our latest image on twitter!"/>
    <n v="2493"/>
    <n v="97"/>
    <n v="44"/>
    <n v="42381"/>
    <n v="41991"/>
    <n v="242"/>
    <x v="2"/>
    <x v="3"/>
    <n v="6.2150491965739366E-2"/>
    <n v="2634"/>
    <n v="26752"/>
    <s v="During"/>
    <n v="9.8459928229665067E-2"/>
  </r>
  <r>
    <x v="114"/>
    <x v="0"/>
    <d v="2025-05-11T00:00:00"/>
    <x v="4"/>
    <s v="Check out our latest image on twitter!"/>
    <n v="2493"/>
    <n v="97"/>
    <n v="44"/>
    <n v="42381"/>
    <n v="41991"/>
    <n v="242"/>
    <x v="1"/>
    <x v="3"/>
    <n v="6.2150491965739366E-2"/>
    <n v="2634"/>
    <n v="26752"/>
    <s v="During"/>
    <n v="9.8459928229665067E-2"/>
  </r>
  <r>
    <x v="115"/>
    <x v="1"/>
    <d v="2025-03-18T00:00:00"/>
    <x v="0"/>
    <s v="Check out our latest reel on youtube!"/>
    <n v="3704"/>
    <n v="186"/>
    <n v="458"/>
    <n v="25928"/>
    <n v="25081"/>
    <n v="131"/>
    <x v="2"/>
    <x v="4"/>
    <n v="0.16769515581610614"/>
    <n v="4348"/>
    <n v="30671"/>
    <s v="Not Found"/>
    <n v="0.14176257702715919"/>
  </r>
  <r>
    <x v="116"/>
    <x v="0"/>
    <d v="2024-11-04T00:00:00"/>
    <x v="4"/>
    <s v="Check out our latest image on twitter!"/>
    <n v="1606"/>
    <n v="451"/>
    <n v="405"/>
    <n v="20878"/>
    <n v="20190"/>
    <n v="219"/>
    <x v="4"/>
    <x v="3"/>
    <n v="0.11792317271769326"/>
    <n v="2462"/>
    <n v="26752"/>
    <s v="Before"/>
    <n v="9.2030502392344504E-2"/>
  </r>
  <r>
    <x v="117"/>
    <x v="3"/>
    <d v="2024-11-04T00:00:00"/>
    <x v="4"/>
    <s v="Check out our latest image on facebook!"/>
    <n v="4551"/>
    <n v="714"/>
    <n v="207"/>
    <n v="68265"/>
    <n v="67754"/>
    <n v="57"/>
    <x v="0"/>
    <x v="2"/>
    <n v="8.0158206987475278E-2"/>
    <n v="5472"/>
    <n v="9566"/>
    <s v="Before"/>
    <n v="0.57202592515157846"/>
  </r>
  <r>
    <x v="118"/>
    <x v="2"/>
    <d v="2025-02-07T00:00:00"/>
    <x v="0"/>
    <s v="Check out our latest reel on instagram!"/>
    <n v="1970"/>
    <n v="675"/>
    <n v="478"/>
    <n v="9850"/>
    <n v="8924"/>
    <n v="117"/>
    <x v="0"/>
    <x v="4"/>
    <n v="0.31705583756345179"/>
    <n v="3123"/>
    <n v="5904"/>
    <s v="Not Found"/>
    <n v="0.52896341463414631"/>
  </r>
  <r>
    <x v="119"/>
    <x v="3"/>
    <d v="2024-10-21T00:00:00"/>
    <x v="2"/>
    <s v="Check out our latest story on facebook!"/>
    <n v="780"/>
    <n v="928"/>
    <n v="301"/>
    <n v="8580"/>
    <n v="8081"/>
    <n v="91"/>
    <x v="4"/>
    <x v="2"/>
    <n v="0.23414918414918415"/>
    <n v="2009"/>
    <n v="9566"/>
    <s v="Before"/>
    <n v="0.21001463516621369"/>
  </r>
  <r>
    <x v="120"/>
    <x v="2"/>
    <d v="2024-07-29T00:00:00"/>
    <x v="2"/>
    <s v="Check out our latest story on instagram!"/>
    <n v="498"/>
    <n v="701"/>
    <n v="412"/>
    <n v="4980"/>
    <n v="4185"/>
    <n v="185"/>
    <x v="0"/>
    <x v="4"/>
    <n v="0.32349397590361445"/>
    <n v="1611"/>
    <n v="5904"/>
    <s v="Not Found"/>
    <n v="0.27286585365853661"/>
  </r>
  <r>
    <x v="121"/>
    <x v="2"/>
    <d v="2024-10-02T00:00:00"/>
    <x v="1"/>
    <s v="Check out our latest text on instagram!"/>
    <n v="3432"/>
    <n v="869"/>
    <n v="123"/>
    <n v="54912"/>
    <n v="53916"/>
    <n v="264"/>
    <x v="4"/>
    <x v="1"/>
    <n v="8.0565268065268064E-2"/>
    <n v="4424"/>
    <n v="5904"/>
    <s v="During"/>
    <n v="0.74932249322493227"/>
  </r>
  <r>
    <x v="122"/>
    <x v="2"/>
    <d v="2024-06-14T00:00:00"/>
    <x v="2"/>
    <s v="Check out our latest story on instagram!"/>
    <n v="4363"/>
    <n v="649"/>
    <n v="140"/>
    <n v="21815"/>
    <n v="21481"/>
    <n v="157"/>
    <x v="4"/>
    <x v="0"/>
    <n v="0.23616777446710979"/>
    <n v="5152"/>
    <n v="5904"/>
    <s v="Before"/>
    <n v="0.87262872628726285"/>
  </r>
  <r>
    <x v="123"/>
    <x v="1"/>
    <d v="2025-04-06T00:00:00"/>
    <x v="3"/>
    <s v="Check out our latest carousel on youtube!"/>
    <n v="736"/>
    <n v="771"/>
    <n v="225"/>
    <n v="5152"/>
    <n v="4706"/>
    <n v="19"/>
    <x v="4"/>
    <x v="0"/>
    <n v="0.33618012422360249"/>
    <n v="1732"/>
    <n v="30671"/>
    <s v="During"/>
    <n v="5.6470281373284213E-2"/>
  </r>
  <r>
    <x v="124"/>
    <x v="0"/>
    <d v="2024-09-08T00:00:00"/>
    <x v="3"/>
    <s v="Check out our latest carousel on twitter!"/>
    <n v="3811"/>
    <n v="866"/>
    <n v="216"/>
    <n v="34299"/>
    <n v="34088"/>
    <n v="233"/>
    <x v="2"/>
    <x v="3"/>
    <n v="0.14265722032712325"/>
    <n v="4893"/>
    <n v="26752"/>
    <s v="Before"/>
    <n v="0.1829022129186603"/>
  </r>
  <r>
    <x v="125"/>
    <x v="2"/>
    <d v="2025-03-28T00:00:00"/>
    <x v="3"/>
    <s v="Check out our latest carousel on instagram!"/>
    <n v="4158"/>
    <n v="167"/>
    <n v="241"/>
    <n v="45738"/>
    <n v="45183"/>
    <n v="142"/>
    <x v="0"/>
    <x v="4"/>
    <n v="9.9829463465827106E-2"/>
    <n v="4566"/>
    <n v="5904"/>
    <s v="Not Found"/>
    <n v="0.77337398373983735"/>
  </r>
  <r>
    <x v="126"/>
    <x v="3"/>
    <d v="2025-01-27T00:00:00"/>
    <x v="0"/>
    <s v="Check out our latest reel on facebook!"/>
    <n v="3452"/>
    <n v="652"/>
    <n v="442"/>
    <n v="65588"/>
    <n v="65049"/>
    <n v="158"/>
    <x v="0"/>
    <x v="2"/>
    <n v="6.9311459413307311E-2"/>
    <n v="4546"/>
    <n v="9566"/>
    <s v="During"/>
    <n v="0.47522475433828143"/>
  </r>
  <r>
    <x v="127"/>
    <x v="0"/>
    <d v="2025-01-10T00:00:00"/>
    <x v="4"/>
    <s v="Check out our latest image on twitter!"/>
    <n v="3092"/>
    <n v="106"/>
    <n v="291"/>
    <n v="27828"/>
    <n v="27217"/>
    <n v="102"/>
    <x v="0"/>
    <x v="4"/>
    <n v="0.12537731780940059"/>
    <n v="3489"/>
    <n v="26752"/>
    <s v="Not Found"/>
    <n v="0.13042015550239233"/>
  </r>
  <r>
    <x v="128"/>
    <x v="0"/>
    <d v="2024-07-21T00:00:00"/>
    <x v="1"/>
    <s v="Check out our latest text on twitter!"/>
    <n v="2147"/>
    <n v="430"/>
    <n v="393"/>
    <n v="17176"/>
    <n v="16483"/>
    <n v="170"/>
    <x v="2"/>
    <x v="4"/>
    <n v="0.17291569632044715"/>
    <n v="2970"/>
    <n v="26752"/>
    <s v="Not Found"/>
    <n v="0.11101973684210527"/>
  </r>
  <r>
    <x v="129"/>
    <x v="1"/>
    <d v="2024-09-29T00:00:00"/>
    <x v="0"/>
    <s v="Check out our latest reel on youtube!"/>
    <n v="2936"/>
    <n v="439"/>
    <n v="44"/>
    <n v="38168"/>
    <n v="37571"/>
    <n v="22"/>
    <x v="4"/>
    <x v="3"/>
    <n v="8.9577656675749323E-2"/>
    <n v="3419"/>
    <n v="30671"/>
    <s v="Before"/>
    <n v="0.11147337876169672"/>
  </r>
  <r>
    <x v="130"/>
    <x v="2"/>
    <d v="2024-10-21T00:00:00"/>
    <x v="0"/>
    <s v="Check out our latest reel on instagram!"/>
    <n v="4840"/>
    <n v="658"/>
    <n v="211"/>
    <n v="43560"/>
    <n v="43225"/>
    <n v="57"/>
    <x v="0"/>
    <x v="2"/>
    <n v="0.13106060606060607"/>
    <n v="5709"/>
    <n v="5904"/>
    <s v="Before"/>
    <n v="0.96697154471544711"/>
  </r>
  <r>
    <x v="131"/>
    <x v="2"/>
    <d v="2025-03-04T00:00:00"/>
    <x v="2"/>
    <s v="Check out our latest story on instagram!"/>
    <n v="1947"/>
    <n v="842"/>
    <n v="101"/>
    <n v="21417"/>
    <n v="20967"/>
    <n v="186"/>
    <x v="0"/>
    <x v="1"/>
    <n v="0.13493953401503478"/>
    <n v="2890"/>
    <n v="5904"/>
    <s v="During"/>
    <n v="0.48949864498644985"/>
  </r>
  <r>
    <x v="132"/>
    <x v="3"/>
    <d v="2025-02-06T00:00:00"/>
    <x v="4"/>
    <s v="Check out our latest image on facebook!"/>
    <n v="2072"/>
    <n v="532"/>
    <n v="71"/>
    <n v="37296"/>
    <n v="36467"/>
    <n v="25"/>
    <x v="2"/>
    <x v="3"/>
    <n v="7.172350922350923E-2"/>
    <n v="2675"/>
    <n v="9566"/>
    <s v="Before"/>
    <n v="0.2796362115826887"/>
  </r>
  <r>
    <x v="133"/>
    <x v="0"/>
    <d v="2025-04-24T00:00:00"/>
    <x v="0"/>
    <s v="Check out our latest reel on twitter!"/>
    <n v="3731"/>
    <n v="115"/>
    <n v="135"/>
    <n v="55965"/>
    <n v="55436"/>
    <n v="103"/>
    <x v="2"/>
    <x v="0"/>
    <n v="7.1133744304476013E-2"/>
    <n v="3981"/>
    <n v="26752"/>
    <s v="During"/>
    <n v="0.14881130382775121"/>
  </r>
  <r>
    <x v="134"/>
    <x v="3"/>
    <d v="2024-11-28T00:00:00"/>
    <x v="1"/>
    <s v="Check out our latest text on facebook!"/>
    <n v="4213"/>
    <n v="253"/>
    <n v="434"/>
    <n v="75834"/>
    <n v="75437"/>
    <n v="272"/>
    <x v="0"/>
    <x v="3"/>
    <n v="6.461481657304112E-2"/>
    <n v="4900"/>
    <n v="9566"/>
    <s v="Before"/>
    <n v="0.51223081747856991"/>
  </r>
  <r>
    <x v="135"/>
    <x v="2"/>
    <d v="2024-07-11T00:00:00"/>
    <x v="1"/>
    <s v="Check out our latest text on instagram!"/>
    <n v="3134"/>
    <n v="888"/>
    <n v="444"/>
    <n v="21938"/>
    <n v="21337"/>
    <n v="130"/>
    <x v="4"/>
    <x v="3"/>
    <n v="0.20357370772176134"/>
    <n v="4466"/>
    <n v="5904"/>
    <s v="Before"/>
    <n v="0.75643631436314362"/>
  </r>
  <r>
    <x v="136"/>
    <x v="3"/>
    <d v="2024-07-31T00:00:00"/>
    <x v="5"/>
    <s v="Check out our latest video on facebook!"/>
    <n v="3008"/>
    <n v="94"/>
    <n v="37"/>
    <n v="15040"/>
    <n v="14639"/>
    <n v="277"/>
    <x v="0"/>
    <x v="4"/>
    <n v="0.20871010638297871"/>
    <n v="3139"/>
    <n v="9566"/>
    <s v="Not Found"/>
    <n v="0.32814133389086347"/>
  </r>
  <r>
    <x v="137"/>
    <x v="0"/>
    <d v="2025-03-29T00:00:00"/>
    <x v="4"/>
    <s v="Check out our latest image on twitter!"/>
    <n v="305"/>
    <n v="187"/>
    <n v="243"/>
    <n v="4575"/>
    <n v="3704"/>
    <n v="234"/>
    <x v="0"/>
    <x v="2"/>
    <n v="0.16065573770491803"/>
    <n v="735"/>
    <n v="26752"/>
    <s v="During"/>
    <n v="2.7474581339712919E-2"/>
  </r>
  <r>
    <x v="138"/>
    <x v="1"/>
    <d v="2024-10-29T00:00:00"/>
    <x v="1"/>
    <s v="Check out our latest text on youtube!"/>
    <n v="2746"/>
    <n v="156"/>
    <n v="203"/>
    <n v="32952"/>
    <n v="32147"/>
    <n v="147"/>
    <x v="4"/>
    <x v="0"/>
    <n v="9.422796795338674E-2"/>
    <n v="3105"/>
    <n v="30671"/>
    <s v="During"/>
    <n v="0.1012356949561475"/>
  </r>
  <r>
    <x v="139"/>
    <x v="3"/>
    <d v="2024-07-15T00:00:00"/>
    <x v="4"/>
    <s v="Check out our latest image on facebook!"/>
    <n v="2291"/>
    <n v="78"/>
    <n v="485"/>
    <n v="18328"/>
    <n v="18101"/>
    <n v="10"/>
    <x v="4"/>
    <x v="1"/>
    <n v="0.15571802706241816"/>
    <n v="2854"/>
    <n v="9566"/>
    <s v="Before"/>
    <n v="0.29834831695588543"/>
  </r>
  <r>
    <x v="139"/>
    <x v="3"/>
    <d v="2024-07-15T00:00:00"/>
    <x v="4"/>
    <s v="Check out our latest image on facebook!"/>
    <n v="2291"/>
    <n v="78"/>
    <n v="485"/>
    <n v="18328"/>
    <n v="18101"/>
    <n v="10"/>
    <x v="5"/>
    <x v="1"/>
    <n v="0.15571802706241816"/>
    <n v="2854"/>
    <n v="9566"/>
    <s v="Before"/>
    <n v="0.29834831695588543"/>
  </r>
  <r>
    <x v="140"/>
    <x v="0"/>
    <d v="2024-08-31T00:00:00"/>
    <x v="4"/>
    <s v="Check out our latest image on twitter!"/>
    <n v="3170"/>
    <n v="857"/>
    <n v="379"/>
    <n v="19020"/>
    <n v="18559"/>
    <n v="240"/>
    <x v="0"/>
    <x v="4"/>
    <n v="0.2316508937960042"/>
    <n v="4406"/>
    <n v="26752"/>
    <s v="Not Found"/>
    <n v="0.16469796650717702"/>
  </r>
  <r>
    <x v="141"/>
    <x v="1"/>
    <d v="2025-03-25T00:00:00"/>
    <x v="2"/>
    <s v="Check out our latest story on youtube!"/>
    <n v="2070"/>
    <n v="275"/>
    <n v="386"/>
    <n v="39330"/>
    <n v="38627"/>
    <n v="114"/>
    <x v="0"/>
    <x v="3"/>
    <n v="6.9438087973557078E-2"/>
    <n v="2731"/>
    <n v="30671"/>
    <s v="During"/>
    <n v="8.9041765837436018E-2"/>
  </r>
  <r>
    <x v="142"/>
    <x v="1"/>
    <d v="2024-10-02T00:00:00"/>
    <x v="3"/>
    <s v="Check out our latest carousel on youtube!"/>
    <n v="80"/>
    <n v="362"/>
    <n v="80"/>
    <n v="1040"/>
    <n v="349"/>
    <n v="117"/>
    <x v="2"/>
    <x v="2"/>
    <n v="0.50192307692307692"/>
    <n v="522"/>
    <n v="30671"/>
    <s v="Before"/>
    <n v="1.7019334224511753E-2"/>
  </r>
  <r>
    <x v="143"/>
    <x v="1"/>
    <d v="2024-10-28T00:00:00"/>
    <x v="2"/>
    <s v="Check out our latest story on youtube!"/>
    <n v="4929"/>
    <n v="749"/>
    <n v="452"/>
    <n v="93651"/>
    <n v="92810"/>
    <n v="66"/>
    <x v="4"/>
    <x v="3"/>
    <n v="6.5455787978772245E-2"/>
    <n v="6130"/>
    <n v="30671"/>
    <s v="Before"/>
    <n v="0.19986306282807864"/>
  </r>
  <r>
    <x v="144"/>
    <x v="2"/>
    <d v="2024-08-12T00:00:00"/>
    <x v="3"/>
    <s v="Check out our latest carousel on instagram!"/>
    <n v="1878"/>
    <n v="62"/>
    <n v="179"/>
    <n v="37560"/>
    <n v="36874"/>
    <n v="142"/>
    <x v="2"/>
    <x v="3"/>
    <n v="5.6416400425985093E-2"/>
    <n v="2119"/>
    <n v="5904"/>
    <s v="Before"/>
    <n v="0.35890921409214094"/>
  </r>
  <r>
    <x v="145"/>
    <x v="1"/>
    <d v="2024-06-05T00:00:00"/>
    <x v="0"/>
    <s v="Check out our latest reel on youtube!"/>
    <n v="3065"/>
    <n v="772"/>
    <n v="142"/>
    <n v="18390"/>
    <n v="17875"/>
    <n v="200"/>
    <x v="4"/>
    <x v="4"/>
    <n v="0.21636759108210984"/>
    <n v="3979"/>
    <n v="30671"/>
    <s v="Not Found"/>
    <n v="0.12973166835121125"/>
  </r>
  <r>
    <x v="145"/>
    <x v="1"/>
    <d v="2024-06-05T00:00:00"/>
    <x v="0"/>
    <s v="Check out our latest reel on youtube!"/>
    <n v="3065"/>
    <n v="772"/>
    <n v="142"/>
    <n v="18390"/>
    <n v="17875"/>
    <n v="200"/>
    <x v="1"/>
    <x v="4"/>
    <n v="0.21636759108210984"/>
    <n v="3979"/>
    <n v="30671"/>
    <s v="Not Found"/>
    <n v="0.12973166835121125"/>
  </r>
  <r>
    <x v="146"/>
    <x v="2"/>
    <d v="2024-10-21T00:00:00"/>
    <x v="0"/>
    <s v="Check out our latest reel on instagram!"/>
    <n v="3256"/>
    <n v="459"/>
    <n v="266"/>
    <n v="26048"/>
    <n v="25529"/>
    <n v="143"/>
    <x v="2"/>
    <x v="1"/>
    <n v="0.15283323095823095"/>
    <n v="3981"/>
    <n v="5904"/>
    <s v="During"/>
    <n v="0.67428861788617889"/>
  </r>
  <r>
    <x v="147"/>
    <x v="2"/>
    <d v="2025-04-15T00:00:00"/>
    <x v="5"/>
    <s v="Check out our latest video on instagram!"/>
    <n v="4133"/>
    <n v="466"/>
    <n v="327"/>
    <n v="24798"/>
    <n v="24620"/>
    <n v="176"/>
    <x v="4"/>
    <x v="3"/>
    <n v="0.19864505202032423"/>
    <n v="4926"/>
    <n v="5904"/>
    <s v="During"/>
    <n v="0.83434959349593496"/>
  </r>
  <r>
    <x v="148"/>
    <x v="0"/>
    <d v="2024-06-16T00:00:00"/>
    <x v="5"/>
    <s v="Check out our latest video on twitter!"/>
    <n v="1702"/>
    <n v="750"/>
    <n v="179"/>
    <n v="34040"/>
    <n v="33174"/>
    <n v="76"/>
    <x v="4"/>
    <x v="0"/>
    <n v="7.7291421856639245E-2"/>
    <n v="2631"/>
    <n v="26752"/>
    <s v="During"/>
    <n v="9.8347787081339719E-2"/>
  </r>
  <r>
    <x v="149"/>
    <x v="1"/>
    <d v="2024-08-22T00:00:00"/>
    <x v="3"/>
    <s v="Check out our latest carousel on youtube!"/>
    <n v="4295"/>
    <n v="853"/>
    <n v="325"/>
    <n v="85900"/>
    <n v="85788"/>
    <n v="290"/>
    <x v="2"/>
    <x v="3"/>
    <n v="6.3713620488940623E-2"/>
    <n v="5473"/>
    <n v="30671"/>
    <s v="Before"/>
    <n v="0.17844217664895179"/>
  </r>
  <r>
    <x v="150"/>
    <x v="2"/>
    <d v="2024-07-26T00:00:00"/>
    <x v="4"/>
    <s v="Check out our latest image on instagram!"/>
    <n v="3559"/>
    <n v="59"/>
    <n v="289"/>
    <n v="35590"/>
    <n v="35105"/>
    <n v="122"/>
    <x v="4"/>
    <x v="0"/>
    <n v="0.10977802753582468"/>
    <n v="3907"/>
    <n v="5904"/>
    <s v="During"/>
    <n v="0.6617547425474255"/>
  </r>
  <r>
    <x v="151"/>
    <x v="3"/>
    <d v="2025-04-22T00:00:00"/>
    <x v="4"/>
    <s v="Check out our latest image on facebook!"/>
    <n v="4804"/>
    <n v="550"/>
    <n v="270"/>
    <n v="28824"/>
    <n v="28370"/>
    <n v="47"/>
    <x v="4"/>
    <x v="3"/>
    <n v="0.19511518179295032"/>
    <n v="5624"/>
    <n v="9566"/>
    <s v="During"/>
    <n v="0.58791553418356679"/>
  </r>
  <r>
    <x v="152"/>
    <x v="0"/>
    <d v="2025-01-01T00:00:00"/>
    <x v="5"/>
    <s v="Check out our latest video on twitter!"/>
    <n v="754"/>
    <n v="197"/>
    <n v="257"/>
    <n v="6786"/>
    <n v="6221"/>
    <n v="212"/>
    <x v="2"/>
    <x v="2"/>
    <n v="0.17801355732390214"/>
    <n v="1208"/>
    <n v="26752"/>
    <s v="During"/>
    <n v="4.5155502392344497E-2"/>
  </r>
  <r>
    <x v="153"/>
    <x v="2"/>
    <d v="2024-10-09T00:00:00"/>
    <x v="3"/>
    <s v="Check out our latest carousel on instagram!"/>
    <n v="985"/>
    <n v="932"/>
    <n v="287"/>
    <n v="6895"/>
    <n v="6757"/>
    <n v="64"/>
    <x v="0"/>
    <x v="3"/>
    <n v="0.31965192168237855"/>
    <n v="2204"/>
    <n v="5904"/>
    <s v="Before"/>
    <n v="0.37330623306233063"/>
  </r>
  <r>
    <x v="154"/>
    <x v="1"/>
    <d v="2024-12-21T00:00:00"/>
    <x v="4"/>
    <s v="Check out our latest image on youtube!"/>
    <n v="2283"/>
    <n v="210"/>
    <n v="130"/>
    <n v="22830"/>
    <n v="22617"/>
    <n v="143"/>
    <x v="0"/>
    <x v="1"/>
    <n v="0.11489268506351293"/>
    <n v="2623"/>
    <n v="30671"/>
    <s v="During"/>
    <n v="8.5520524273743931E-2"/>
  </r>
  <r>
    <x v="155"/>
    <x v="3"/>
    <d v="2024-10-22T00:00:00"/>
    <x v="3"/>
    <s v="Check out our latest carousel on facebook!"/>
    <n v="3352"/>
    <n v="941"/>
    <n v="482"/>
    <n v="43576"/>
    <n v="43338"/>
    <n v="240"/>
    <x v="0"/>
    <x v="1"/>
    <n v="0.1095786671562328"/>
    <n v="4775"/>
    <n v="9566"/>
    <s v="During"/>
    <n v="0.4991637047877901"/>
  </r>
  <r>
    <x v="156"/>
    <x v="1"/>
    <d v="2024-07-23T00:00:00"/>
    <x v="2"/>
    <s v="Check out our latest story on youtube!"/>
    <n v="4775"/>
    <n v="173"/>
    <n v="206"/>
    <n v="47750"/>
    <n v="47544"/>
    <n v="187"/>
    <x v="0"/>
    <x v="1"/>
    <n v="0.10793717277486911"/>
    <n v="5154"/>
    <n v="30671"/>
    <s v="Before"/>
    <n v="0.16804147240063905"/>
  </r>
  <r>
    <x v="157"/>
    <x v="2"/>
    <d v="2024-08-11T00:00:00"/>
    <x v="2"/>
    <s v="Check out our latest story on instagram!"/>
    <n v="1762"/>
    <n v="405"/>
    <n v="423"/>
    <n v="22906"/>
    <n v="21925"/>
    <n v="25"/>
    <x v="2"/>
    <x v="0"/>
    <n v="0.11307081114118571"/>
    <n v="2590"/>
    <n v="5904"/>
    <s v="During"/>
    <n v="0.43868563685636858"/>
  </r>
  <r>
    <x v="158"/>
    <x v="3"/>
    <d v="2024-11-25T00:00:00"/>
    <x v="2"/>
    <s v="Check out our latest story on facebook!"/>
    <n v="2120"/>
    <n v="158"/>
    <n v="488"/>
    <n v="12720"/>
    <n v="12085"/>
    <n v="17"/>
    <x v="0"/>
    <x v="1"/>
    <n v="0.21745283018867925"/>
    <n v="2766"/>
    <n v="9566"/>
    <s v="During"/>
    <n v="0.28914906962157644"/>
  </r>
  <r>
    <x v="159"/>
    <x v="0"/>
    <d v="2024-08-24T00:00:00"/>
    <x v="5"/>
    <s v="Check out our latest video on twitter!"/>
    <n v="1082"/>
    <n v="209"/>
    <n v="484"/>
    <n v="19476"/>
    <n v="18654"/>
    <n v="20"/>
    <x v="2"/>
    <x v="4"/>
    <n v="9.1137810638734856E-2"/>
    <n v="1775"/>
    <n v="26752"/>
    <s v="Not Found"/>
    <n v="6.6350179425837319E-2"/>
  </r>
  <r>
    <x v="160"/>
    <x v="0"/>
    <d v="2025-02-19T00:00:00"/>
    <x v="1"/>
    <s v="Check out our latest text on twitter!"/>
    <n v="4671"/>
    <n v="876"/>
    <n v="366"/>
    <n v="51381"/>
    <n v="50565"/>
    <n v="245"/>
    <x v="2"/>
    <x v="3"/>
    <n v="0.11508145034156594"/>
    <n v="5913"/>
    <n v="26752"/>
    <s v="Before"/>
    <n v="0.22103020334928231"/>
  </r>
  <r>
    <x v="161"/>
    <x v="3"/>
    <d v="2025-04-01T00:00:00"/>
    <x v="2"/>
    <s v="Check out our latest story on facebook!"/>
    <n v="3430"/>
    <n v="566"/>
    <n v="164"/>
    <n v="48020"/>
    <n v="47305"/>
    <n v="120"/>
    <x v="0"/>
    <x v="4"/>
    <n v="8.6630570595585168E-2"/>
    <n v="4160"/>
    <n v="9566"/>
    <s v="Not Found"/>
    <n v="0.43487351034915323"/>
  </r>
  <r>
    <x v="162"/>
    <x v="2"/>
    <d v="2025-04-08T00:00:00"/>
    <x v="4"/>
    <s v="Check out our latest image on instagram!"/>
    <n v="4501"/>
    <n v="375"/>
    <n v="323"/>
    <n v="22505"/>
    <n v="21836"/>
    <n v="132"/>
    <x v="2"/>
    <x v="1"/>
    <n v="0.23101532992668297"/>
    <n v="5199"/>
    <n v="5904"/>
    <s v="During"/>
    <n v="0.88058943089430897"/>
  </r>
  <r>
    <x v="163"/>
    <x v="1"/>
    <d v="2025-02-27T00:00:00"/>
    <x v="1"/>
    <s v="Check out our latest text on youtube!"/>
    <n v="4934"/>
    <n v="971"/>
    <n v="156"/>
    <n v="39472"/>
    <n v="39025"/>
    <n v="169"/>
    <x v="2"/>
    <x v="3"/>
    <n v="0.15355188488042157"/>
    <n v="6061"/>
    <n v="30671"/>
    <s v="Before"/>
    <n v="0.19761338071794202"/>
  </r>
  <r>
    <x v="163"/>
    <x v="1"/>
    <d v="2025-02-27T00:00:00"/>
    <x v="1"/>
    <s v="Check out our latest text on youtube!"/>
    <n v="4934"/>
    <n v="971"/>
    <n v="156"/>
    <n v="39472"/>
    <n v="39025"/>
    <n v="169"/>
    <x v="1"/>
    <x v="3"/>
    <n v="0.15355188488042157"/>
    <n v="6061"/>
    <n v="30671"/>
    <s v="Before"/>
    <n v="0.19761338071794202"/>
  </r>
  <r>
    <x v="164"/>
    <x v="0"/>
    <d v="2024-12-11T00:00:00"/>
    <x v="1"/>
    <s v="Check out our latest text on twitter!"/>
    <n v="3239"/>
    <n v="43"/>
    <n v="211"/>
    <n v="22673"/>
    <n v="22171"/>
    <n v="230"/>
    <x v="2"/>
    <x v="1"/>
    <n v="0.15405989502933004"/>
    <n v="3493"/>
    <n v="26752"/>
    <s v="During"/>
    <n v="0.13056967703349281"/>
  </r>
  <r>
    <x v="165"/>
    <x v="0"/>
    <d v="2025-02-16T00:00:00"/>
    <x v="0"/>
    <s v="Check out our latest reel on twitter!"/>
    <n v="1076"/>
    <n v="313"/>
    <n v="306"/>
    <n v="11836"/>
    <n v="11596"/>
    <n v="104"/>
    <x v="0"/>
    <x v="0"/>
    <n v="0.14320716458262928"/>
    <n v="1695"/>
    <n v="26752"/>
    <s v="During"/>
    <n v="6.3359748803827748E-2"/>
  </r>
  <r>
    <x v="166"/>
    <x v="2"/>
    <d v="2024-11-28T00:00:00"/>
    <x v="1"/>
    <s v="Check out our latest text on instagram!"/>
    <n v="4771"/>
    <n v="818"/>
    <n v="56"/>
    <n v="57252"/>
    <n v="56378"/>
    <n v="150"/>
    <x v="0"/>
    <x v="4"/>
    <n v="9.859917557465242E-2"/>
    <n v="5645"/>
    <n v="5904"/>
    <s v="Not Found"/>
    <n v="0.95613143631436315"/>
  </r>
  <r>
    <x v="167"/>
    <x v="3"/>
    <d v="2024-11-12T00:00:00"/>
    <x v="1"/>
    <s v="Check out our latest text on facebook!"/>
    <n v="2418"/>
    <n v="754"/>
    <n v="54"/>
    <n v="43524"/>
    <n v="42743"/>
    <n v="182"/>
    <x v="4"/>
    <x v="0"/>
    <n v="7.412002573292896E-2"/>
    <n v="3226"/>
    <n v="9566"/>
    <s v="During"/>
    <n v="0.33723604432364623"/>
  </r>
  <r>
    <x v="168"/>
    <x v="1"/>
    <d v="2024-12-03T00:00:00"/>
    <x v="5"/>
    <s v="Check out our latest video on youtube!"/>
    <n v="3809"/>
    <n v="273"/>
    <n v="200"/>
    <n v="34281"/>
    <n v="33534"/>
    <n v="83"/>
    <x v="4"/>
    <x v="0"/>
    <n v="0.12490884163239112"/>
    <n v="4282"/>
    <n v="30671"/>
    <s v="During"/>
    <n v="0.1396107071826807"/>
  </r>
  <r>
    <x v="169"/>
    <x v="0"/>
    <d v="2025-04-28T00:00:00"/>
    <x v="1"/>
    <s v="Check out our latest text on twitter!"/>
    <n v="3577"/>
    <n v="596"/>
    <n v="493"/>
    <n v="67963"/>
    <n v="67839"/>
    <n v="53"/>
    <x v="2"/>
    <x v="2"/>
    <n v="6.8655003457763777E-2"/>
    <n v="4666"/>
    <n v="26752"/>
    <s v="During"/>
    <n v="0.17441686602870812"/>
  </r>
  <r>
    <x v="170"/>
    <x v="1"/>
    <d v="2024-12-31T00:00:00"/>
    <x v="5"/>
    <s v="Check out our latest video on youtube!"/>
    <n v="1018"/>
    <n v="447"/>
    <n v="332"/>
    <n v="18324"/>
    <n v="18164"/>
    <n v="38"/>
    <x v="0"/>
    <x v="1"/>
    <n v="9.8068107400130972E-2"/>
    <n v="1797"/>
    <n v="30671"/>
    <s v="During"/>
    <n v="5.8589547129210003E-2"/>
  </r>
  <r>
    <x v="171"/>
    <x v="3"/>
    <d v="2024-08-14T00:00:00"/>
    <x v="3"/>
    <s v="Check out our latest carousel on facebook!"/>
    <n v="3073"/>
    <n v="553"/>
    <n v="174"/>
    <n v="52241"/>
    <n v="51605"/>
    <n v="246"/>
    <x v="4"/>
    <x v="2"/>
    <n v="7.2739802071170159E-2"/>
    <n v="3800"/>
    <n v="9566"/>
    <s v="Before"/>
    <n v="0.3972402257997073"/>
  </r>
  <r>
    <x v="172"/>
    <x v="0"/>
    <d v="2024-12-05T00:00:00"/>
    <x v="5"/>
    <s v="Check out our latest video on twitter!"/>
    <n v="1330"/>
    <n v="925"/>
    <n v="35"/>
    <n v="15960"/>
    <n v="15379"/>
    <n v="229"/>
    <x v="0"/>
    <x v="2"/>
    <n v="0.14348370927318296"/>
    <n v="2290"/>
    <n v="26752"/>
    <s v="Before"/>
    <n v="8.5601076555023928E-2"/>
  </r>
  <r>
    <x v="173"/>
    <x v="3"/>
    <d v="2024-06-22T00:00:00"/>
    <x v="1"/>
    <s v="Check out our latest text on facebook!"/>
    <n v="3828"/>
    <n v="148"/>
    <n v="253"/>
    <n v="30624"/>
    <n v="30229"/>
    <n v="235"/>
    <x v="4"/>
    <x v="4"/>
    <n v="0.13809430512016718"/>
    <n v="4229"/>
    <n v="9566"/>
    <s v="Not Found"/>
    <n v="0.44208655655446372"/>
  </r>
  <r>
    <x v="174"/>
    <x v="2"/>
    <d v="2025-01-17T00:00:00"/>
    <x v="0"/>
    <s v="Check out our latest reel on instagram!"/>
    <n v="142"/>
    <n v="784"/>
    <n v="183"/>
    <n v="1704"/>
    <n v="995"/>
    <n v="154"/>
    <x v="0"/>
    <x v="3"/>
    <n v="0.6508215962441315"/>
    <n v="1109"/>
    <n v="5904"/>
    <s v="Before"/>
    <n v="0.18783875338753386"/>
  </r>
  <r>
    <x v="175"/>
    <x v="3"/>
    <d v="2024-06-20T00:00:00"/>
    <x v="5"/>
    <s v="Check out our latest video on facebook!"/>
    <n v="3798"/>
    <n v="31"/>
    <n v="279"/>
    <n v="75960"/>
    <n v="75813"/>
    <n v="266"/>
    <x v="2"/>
    <x v="0"/>
    <n v="5.4081095313322801E-2"/>
    <n v="4108"/>
    <n v="9566"/>
    <s v="During"/>
    <n v="0.42943759146978883"/>
  </r>
  <r>
    <x v="176"/>
    <x v="2"/>
    <d v="2024-07-10T00:00:00"/>
    <x v="3"/>
    <s v="Check out our latest carousel on instagram!"/>
    <n v="3099"/>
    <n v="694"/>
    <n v="171"/>
    <n v="43386"/>
    <n v="42921"/>
    <n v="52"/>
    <x v="2"/>
    <x v="2"/>
    <n v="9.1365878393951966E-2"/>
    <n v="3964"/>
    <n v="5904"/>
    <s v="Before"/>
    <n v="0.67140921409214094"/>
  </r>
  <r>
    <x v="177"/>
    <x v="2"/>
    <d v="2024-11-07T00:00:00"/>
    <x v="5"/>
    <s v="Check out our latest video on instagram!"/>
    <n v="129"/>
    <n v="643"/>
    <n v="136"/>
    <n v="1290"/>
    <n v="839"/>
    <n v="238"/>
    <x v="2"/>
    <x v="3"/>
    <n v="0.70387596899224802"/>
    <n v="908"/>
    <n v="5904"/>
    <s v="Before"/>
    <n v="0.15379403794037941"/>
  </r>
  <r>
    <x v="178"/>
    <x v="3"/>
    <d v="2024-07-15T00:00:00"/>
    <x v="3"/>
    <s v="Check out our latest carousel on facebook!"/>
    <n v="3796"/>
    <n v="667"/>
    <n v="395"/>
    <n v="64532"/>
    <n v="63550"/>
    <n v="292"/>
    <x v="2"/>
    <x v="4"/>
    <n v="7.5280481001673588E-2"/>
    <n v="4858"/>
    <n v="9566"/>
    <s v="Not Found"/>
    <n v="0.50784026761446788"/>
  </r>
  <r>
    <x v="179"/>
    <x v="1"/>
    <d v="2024-12-03T00:00:00"/>
    <x v="1"/>
    <s v="Check out our latest text on youtube!"/>
    <n v="3711"/>
    <n v="352"/>
    <n v="290"/>
    <n v="48243"/>
    <n v="47579"/>
    <n v="11"/>
    <x v="2"/>
    <x v="0"/>
    <n v="9.023070704558174E-2"/>
    <n v="4353"/>
    <n v="30671"/>
    <s v="During"/>
    <n v="0.14192559746992273"/>
  </r>
  <r>
    <x v="180"/>
    <x v="1"/>
    <d v="2025-03-21T00:00:00"/>
    <x v="4"/>
    <s v="Check out our latest image on youtube!"/>
    <n v="606"/>
    <n v="789"/>
    <n v="470"/>
    <n v="7878"/>
    <n v="7389"/>
    <n v="239"/>
    <x v="4"/>
    <x v="2"/>
    <n v="0.23673521198273673"/>
    <n v="1865"/>
    <n v="30671"/>
    <s v="During"/>
    <n v="6.0806625150793908E-2"/>
  </r>
  <r>
    <x v="181"/>
    <x v="3"/>
    <d v="2024-07-31T00:00:00"/>
    <x v="4"/>
    <s v="Check out our latest image on facebook!"/>
    <n v="4689"/>
    <n v="134"/>
    <n v="403"/>
    <n v="51579"/>
    <n v="50924"/>
    <n v="173"/>
    <x v="2"/>
    <x v="3"/>
    <n v="0.10132030477519921"/>
    <n v="5226"/>
    <n v="9566"/>
    <s v="Before"/>
    <n v="0.54630984737612376"/>
  </r>
  <r>
    <x v="182"/>
    <x v="2"/>
    <d v="2024-12-17T00:00:00"/>
    <x v="2"/>
    <s v="Check out our latest story on instagram!"/>
    <n v="360"/>
    <n v="590"/>
    <n v="393"/>
    <n v="4680"/>
    <n v="4322"/>
    <n v="208"/>
    <x v="0"/>
    <x v="1"/>
    <n v="0.28696581196581195"/>
    <n v="1343"/>
    <n v="5904"/>
    <s v="During"/>
    <n v="0.22747289972899729"/>
  </r>
  <r>
    <x v="183"/>
    <x v="0"/>
    <d v="2024-07-28T00:00:00"/>
    <x v="4"/>
    <s v="Check out our latest image on twitter!"/>
    <n v="3215"/>
    <n v="960"/>
    <n v="202"/>
    <n v="32150"/>
    <n v="31404"/>
    <n v="251"/>
    <x v="4"/>
    <x v="0"/>
    <n v="0.13614307931570763"/>
    <n v="4377"/>
    <n v="26752"/>
    <s v="During"/>
    <n v="0.16361393540669855"/>
  </r>
  <r>
    <x v="184"/>
    <x v="2"/>
    <d v="2025-01-11T00:00:00"/>
    <x v="3"/>
    <s v="Check out our latest carousel on instagram!"/>
    <n v="4523"/>
    <n v="61"/>
    <n v="157"/>
    <n v="49753"/>
    <n v="49329"/>
    <n v="71"/>
    <x v="4"/>
    <x v="4"/>
    <n v="9.5290736237010829E-2"/>
    <n v="4741"/>
    <n v="5904"/>
    <s v="Not Found"/>
    <n v="0.80301490514905149"/>
  </r>
  <r>
    <x v="185"/>
    <x v="3"/>
    <d v="2024-08-24T00:00:00"/>
    <x v="3"/>
    <s v="Check out our latest carousel on facebook!"/>
    <n v="4292"/>
    <n v="51"/>
    <n v="392"/>
    <n v="55796"/>
    <n v="54826"/>
    <n v="264"/>
    <x v="4"/>
    <x v="2"/>
    <n v="8.4862714173059003E-2"/>
    <n v="4735"/>
    <n v="9566"/>
    <s v="Before"/>
    <n v="0.49498222872674053"/>
  </r>
  <r>
    <x v="186"/>
    <x v="0"/>
    <d v="2024-12-22T00:00:00"/>
    <x v="0"/>
    <s v="Check out our latest reel on twitter!"/>
    <n v="1644"/>
    <n v="546"/>
    <n v="150"/>
    <n v="27948"/>
    <n v="27184"/>
    <n v="300"/>
    <x v="4"/>
    <x v="2"/>
    <n v="8.3726921425504502E-2"/>
    <n v="2340"/>
    <n v="26752"/>
    <s v="Before"/>
    <n v="8.7470095693779906E-2"/>
  </r>
  <r>
    <x v="187"/>
    <x v="1"/>
    <d v="2024-06-06T00:00:00"/>
    <x v="0"/>
    <s v="Check out our latest reel on youtube!"/>
    <n v="2728"/>
    <n v="533"/>
    <n v="215"/>
    <n v="40920"/>
    <n v="40816"/>
    <n v="137"/>
    <x v="0"/>
    <x v="1"/>
    <n v="8.4946236559139784E-2"/>
    <n v="3476"/>
    <n v="30671"/>
    <s v="Before"/>
    <n v="0.11333181180920088"/>
  </r>
  <r>
    <x v="188"/>
    <x v="3"/>
    <d v="2025-03-24T00:00:00"/>
    <x v="0"/>
    <s v="Check out our latest reel on facebook!"/>
    <n v="3360"/>
    <n v="525"/>
    <n v="500"/>
    <n v="60480"/>
    <n v="59610"/>
    <n v="192"/>
    <x v="2"/>
    <x v="0"/>
    <n v="7.2503306878306875E-2"/>
    <n v="4385"/>
    <n v="9566"/>
    <s v="During"/>
    <n v="0.45839431319255697"/>
  </r>
  <r>
    <x v="189"/>
    <x v="1"/>
    <d v="2024-10-04T00:00:00"/>
    <x v="1"/>
    <s v="Check out our latest text on youtube!"/>
    <n v="1963"/>
    <n v="213"/>
    <n v="19"/>
    <n v="39260"/>
    <n v="38771"/>
    <n v="145"/>
    <x v="0"/>
    <x v="4"/>
    <n v="5.5909322465613857E-2"/>
    <n v="2195"/>
    <n v="30671"/>
    <s v="Not Found"/>
    <n v="7.1565974373186403E-2"/>
  </r>
  <r>
    <x v="190"/>
    <x v="1"/>
    <d v="2024-12-03T00:00:00"/>
    <x v="2"/>
    <s v="Check out our latest story on youtube!"/>
    <n v="4285"/>
    <n v="886"/>
    <n v="376"/>
    <n v="55705"/>
    <n v="55556"/>
    <n v="51"/>
    <x v="0"/>
    <x v="2"/>
    <n v="9.9578134817341346E-2"/>
    <n v="5547"/>
    <n v="30671"/>
    <s v="Before"/>
    <n v="0.18085487920185192"/>
  </r>
  <r>
    <x v="191"/>
    <x v="2"/>
    <d v="2024-11-29T00:00:00"/>
    <x v="5"/>
    <s v="Check out our latest video on instagram!"/>
    <n v="1176"/>
    <n v="464"/>
    <n v="394"/>
    <n v="14112"/>
    <n v="13588"/>
    <n v="272"/>
    <x v="4"/>
    <x v="4"/>
    <n v="0.1441326530612245"/>
    <n v="2034"/>
    <n v="5904"/>
    <s v="Not Found"/>
    <n v="0.34451219512195119"/>
  </r>
  <r>
    <x v="192"/>
    <x v="0"/>
    <d v="2024-09-11T00:00:00"/>
    <x v="4"/>
    <s v="Check out our latest image on twitter!"/>
    <n v="4858"/>
    <n v="317"/>
    <n v="129"/>
    <n v="53438"/>
    <n v="52687"/>
    <n v="223"/>
    <x v="4"/>
    <x v="2"/>
    <n v="9.9255211647142488E-2"/>
    <n v="5304"/>
    <n v="26752"/>
    <s v="Before"/>
    <n v="0.19826555023923445"/>
  </r>
  <r>
    <x v="193"/>
    <x v="1"/>
    <d v="2024-10-02T00:00:00"/>
    <x v="2"/>
    <s v="Check out our latest story on youtube!"/>
    <n v="4350"/>
    <n v="771"/>
    <n v="7"/>
    <n v="60900"/>
    <n v="60592"/>
    <n v="195"/>
    <x v="4"/>
    <x v="0"/>
    <n v="8.4203612479474554E-2"/>
    <n v="5128"/>
    <n v="30671"/>
    <s v="During"/>
    <n v="0.16719376609826872"/>
  </r>
  <r>
    <x v="194"/>
    <x v="2"/>
    <d v="2024-08-15T00:00:00"/>
    <x v="3"/>
    <s v="Check out our latest carousel on instagram!"/>
    <n v="914"/>
    <n v="464"/>
    <n v="246"/>
    <n v="11882"/>
    <n v="11500"/>
    <n v="282"/>
    <x v="0"/>
    <x v="3"/>
    <n v="0.13667732704931829"/>
    <n v="1624"/>
    <n v="5904"/>
    <s v="Before"/>
    <n v="0.27506775067750677"/>
  </r>
  <r>
    <x v="194"/>
    <x v="2"/>
    <d v="2024-08-15T00:00:00"/>
    <x v="3"/>
    <s v="Check out our latest carousel on instagram!"/>
    <n v="914"/>
    <n v="464"/>
    <n v="246"/>
    <n v="11882"/>
    <n v="11500"/>
    <n v="282"/>
    <x v="2"/>
    <x v="3"/>
    <n v="0.13667732704931829"/>
    <n v="1624"/>
    <n v="5904"/>
    <s v="Before"/>
    <n v="0.27506775067750677"/>
  </r>
  <r>
    <x v="194"/>
    <x v="2"/>
    <d v="2024-08-15T00:00:00"/>
    <x v="3"/>
    <s v="Check out our latest carousel on instagram!"/>
    <n v="914"/>
    <n v="464"/>
    <n v="246"/>
    <n v="11882"/>
    <n v="11500"/>
    <n v="282"/>
    <x v="1"/>
    <x v="3"/>
    <n v="0.13667732704931829"/>
    <n v="1624"/>
    <n v="5904"/>
    <s v="Before"/>
    <n v="0.27506775067750677"/>
  </r>
  <r>
    <x v="195"/>
    <x v="2"/>
    <d v="2024-12-19T00:00:00"/>
    <x v="1"/>
    <s v="Check out our latest text on instagram!"/>
    <n v="1813"/>
    <n v="623"/>
    <n v="72"/>
    <n v="19943"/>
    <n v="18959"/>
    <n v="85"/>
    <x v="4"/>
    <x v="2"/>
    <n v="0.12575841147269717"/>
    <n v="2508"/>
    <n v="5904"/>
    <s v="Before"/>
    <n v="0.42479674796747968"/>
  </r>
  <r>
    <x v="196"/>
    <x v="0"/>
    <d v="2024-10-22T00:00:00"/>
    <x v="0"/>
    <s v="Check out our latest reel on twitter!"/>
    <n v="4782"/>
    <n v="721"/>
    <n v="82"/>
    <n v="86076"/>
    <n v="85339"/>
    <n v="19"/>
    <x v="4"/>
    <x v="0"/>
    <n v="6.4884520656164318E-2"/>
    <n v="5585"/>
    <n v="26752"/>
    <s v="During"/>
    <n v="0.20876943779904306"/>
  </r>
  <r>
    <x v="197"/>
    <x v="0"/>
    <d v="2024-09-14T00:00:00"/>
    <x v="4"/>
    <s v="Check out our latest image on twitter!"/>
    <n v="1048"/>
    <n v="374"/>
    <n v="450"/>
    <n v="9432"/>
    <n v="8882"/>
    <n v="158"/>
    <x v="2"/>
    <x v="2"/>
    <n v="0.19847328244274809"/>
    <n v="1872"/>
    <n v="26752"/>
    <s v="Before"/>
    <n v="6.9976076555023928E-2"/>
  </r>
  <r>
    <x v="198"/>
    <x v="1"/>
    <d v="2024-11-30T00:00:00"/>
    <x v="3"/>
    <s v="Check out our latest carousel on youtube!"/>
    <n v="2509"/>
    <n v="324"/>
    <n v="171"/>
    <n v="35126"/>
    <n v="34685"/>
    <n v="277"/>
    <x v="2"/>
    <x v="1"/>
    <n v="8.5520696919660646E-2"/>
    <n v="3004"/>
    <n v="30671"/>
    <s v="During"/>
    <n v="9.7942682012324339E-2"/>
  </r>
  <r>
    <x v="199"/>
    <x v="3"/>
    <d v="2025-04-07T00:00:00"/>
    <x v="0"/>
    <s v="Check out our latest reel on facebook!"/>
    <n v="3718"/>
    <n v="385"/>
    <n v="310"/>
    <n v="70642"/>
    <n v="69749"/>
    <n v="233"/>
    <x v="2"/>
    <x v="1"/>
    <n v="6.246991874522239E-2"/>
    <n v="4413"/>
    <n v="9566"/>
    <s v="During"/>
    <n v="0.46132134643529166"/>
  </r>
  <r>
    <x v="200"/>
    <x v="0"/>
    <d v="2025-01-15T00:00:00"/>
    <x v="0"/>
    <s v="Check out our latest reel on twitter!"/>
    <n v="802"/>
    <n v="262"/>
    <n v="244"/>
    <n v="14436"/>
    <n v="14280"/>
    <n v="49"/>
    <x v="4"/>
    <x v="0"/>
    <n v="9.0606816292601824E-2"/>
    <n v="1308"/>
    <n v="26752"/>
    <s v="During"/>
    <n v="4.8893540669856461E-2"/>
  </r>
  <r>
    <x v="201"/>
    <x v="3"/>
    <d v="2024-06-02T00:00:00"/>
    <x v="4"/>
    <s v="Check out our latest image on facebook!"/>
    <n v="1871"/>
    <n v="252"/>
    <n v="335"/>
    <n v="29936"/>
    <n v="29576"/>
    <n v="288"/>
    <x v="4"/>
    <x v="2"/>
    <n v="8.2108498129342594E-2"/>
    <n v="2458"/>
    <n v="9566"/>
    <s v="Before"/>
    <n v="0.25695170395149486"/>
  </r>
  <r>
    <x v="202"/>
    <x v="2"/>
    <d v="2024-11-21T00:00:00"/>
    <x v="3"/>
    <s v="Check out our latest carousel on instagram!"/>
    <n v="3773"/>
    <n v="299"/>
    <n v="38"/>
    <n v="71687"/>
    <n v="71447"/>
    <n v="286"/>
    <x v="0"/>
    <x v="0"/>
    <n v="5.7332570758993957E-2"/>
    <n v="4110"/>
    <n v="5904"/>
    <s v="During"/>
    <n v="0.69613821138211385"/>
  </r>
  <r>
    <x v="203"/>
    <x v="2"/>
    <d v="2025-01-01T00:00:00"/>
    <x v="3"/>
    <s v="Check out our latest carousel on instagram!"/>
    <n v="2234"/>
    <n v="653"/>
    <n v="432"/>
    <n v="11170"/>
    <n v="10569"/>
    <n v="198"/>
    <x v="0"/>
    <x v="2"/>
    <n v="0.29713518352730528"/>
    <n v="3319"/>
    <n v="5904"/>
    <s v="During"/>
    <n v="0.56216124661246614"/>
  </r>
  <r>
    <x v="204"/>
    <x v="0"/>
    <d v="2025-04-24T00:00:00"/>
    <x v="5"/>
    <s v="Check out our latest video on twitter!"/>
    <n v="3820"/>
    <n v="697"/>
    <n v="268"/>
    <n v="45840"/>
    <n v="45631"/>
    <n v="171"/>
    <x v="2"/>
    <x v="3"/>
    <n v="0.1043848167539267"/>
    <n v="4785"/>
    <n v="26752"/>
    <s v="During"/>
    <n v="0.17886513157894737"/>
  </r>
  <r>
    <x v="204"/>
    <x v="0"/>
    <d v="2025-04-24T00:00:00"/>
    <x v="5"/>
    <s v="Check out our latest video on twitter!"/>
    <n v="3820"/>
    <n v="697"/>
    <n v="268"/>
    <n v="45840"/>
    <n v="45631"/>
    <n v="171"/>
    <x v="5"/>
    <x v="3"/>
    <n v="0.1043848167539267"/>
    <n v="4785"/>
    <n v="26752"/>
    <s v="During"/>
    <n v="0.17886513157894737"/>
  </r>
  <r>
    <x v="205"/>
    <x v="0"/>
    <d v="2024-06-24T00:00:00"/>
    <x v="1"/>
    <s v="Check out our latest text on twitter!"/>
    <n v="941"/>
    <n v="121"/>
    <n v="458"/>
    <n v="14115"/>
    <n v="13838"/>
    <n v="87"/>
    <x v="4"/>
    <x v="0"/>
    <n v="0.10768685795253277"/>
    <n v="1520"/>
    <n v="26752"/>
    <s v="During"/>
    <n v="5.6818181818181816E-2"/>
  </r>
  <r>
    <x v="206"/>
    <x v="0"/>
    <d v="2024-12-29T00:00:00"/>
    <x v="3"/>
    <s v="Check out our latest carousel on twitter!"/>
    <n v="4274"/>
    <n v="340"/>
    <n v="281"/>
    <n v="34192"/>
    <n v="33446"/>
    <n v="129"/>
    <x v="2"/>
    <x v="2"/>
    <n v="0.14316214319138981"/>
    <n v="4895"/>
    <n v="26752"/>
    <s v="During"/>
    <n v="0.18297697368421054"/>
  </r>
  <r>
    <x v="206"/>
    <x v="0"/>
    <d v="2024-12-29T00:00:00"/>
    <x v="3"/>
    <s v="Check out our latest carousel on twitter!"/>
    <n v="4274"/>
    <n v="340"/>
    <n v="281"/>
    <n v="34192"/>
    <n v="33446"/>
    <n v="129"/>
    <x v="5"/>
    <x v="2"/>
    <n v="0.14316214319138981"/>
    <n v="4895"/>
    <n v="26752"/>
    <s v="During"/>
    <n v="0.18297697368421054"/>
  </r>
  <r>
    <x v="207"/>
    <x v="1"/>
    <d v="2024-06-24T00:00:00"/>
    <x v="5"/>
    <s v="Check out our latest video on youtube!"/>
    <n v="2949"/>
    <n v="476"/>
    <n v="403"/>
    <n v="44235"/>
    <n v="43705"/>
    <n v="135"/>
    <x v="2"/>
    <x v="1"/>
    <n v="8.6537809426924378E-2"/>
    <n v="3828"/>
    <n v="30671"/>
    <s v="Before"/>
    <n v="0.12480845097975286"/>
  </r>
  <r>
    <x v="208"/>
    <x v="0"/>
    <d v="2025-03-19T00:00:00"/>
    <x v="5"/>
    <s v="Check out our latest video on twitter!"/>
    <n v="3160"/>
    <n v="204"/>
    <n v="297"/>
    <n v="44240"/>
    <n v="43666"/>
    <n v="49"/>
    <x v="0"/>
    <x v="3"/>
    <n v="8.2753164556962022E-2"/>
    <n v="3661"/>
    <n v="26752"/>
    <s v="During"/>
    <n v="0.13684958133971292"/>
  </r>
  <r>
    <x v="208"/>
    <x v="0"/>
    <d v="2025-03-19T00:00:00"/>
    <x v="5"/>
    <s v="Check out our latest video on twitter!"/>
    <n v="3160"/>
    <n v="204"/>
    <n v="297"/>
    <n v="44240"/>
    <n v="43666"/>
    <n v="49"/>
    <x v="1"/>
    <x v="3"/>
    <n v="8.2753164556962022E-2"/>
    <n v="3661"/>
    <n v="26752"/>
    <s v="During"/>
    <n v="0.13684958133971292"/>
  </r>
  <r>
    <x v="209"/>
    <x v="1"/>
    <d v="2025-02-19T00:00:00"/>
    <x v="4"/>
    <s v="Check out our latest image on youtube!"/>
    <n v="257"/>
    <n v="966"/>
    <n v="398"/>
    <n v="3341"/>
    <n v="2753"/>
    <n v="287"/>
    <x v="0"/>
    <x v="0"/>
    <n v="0.48518407662376534"/>
    <n v="1621"/>
    <n v="30671"/>
    <s v="During"/>
    <n v="5.285122754393401E-2"/>
  </r>
  <r>
    <x v="210"/>
    <x v="0"/>
    <d v="2024-07-18T00:00:00"/>
    <x v="3"/>
    <s v="Check out our latest carousel on twitter!"/>
    <n v="2120"/>
    <n v="38"/>
    <n v="212"/>
    <n v="12720"/>
    <n v="12564"/>
    <n v="21"/>
    <x v="0"/>
    <x v="3"/>
    <n v="0.18632075471698112"/>
    <n v="2370"/>
    <n v="26752"/>
    <s v="Before"/>
    <n v="8.8591507177033499E-2"/>
  </r>
  <r>
    <x v="211"/>
    <x v="1"/>
    <d v="2025-03-03T00:00:00"/>
    <x v="5"/>
    <s v="Check out our latest video on youtube!"/>
    <n v="3874"/>
    <n v="884"/>
    <n v="19"/>
    <n v="38740"/>
    <n v="38552"/>
    <n v="219"/>
    <x v="2"/>
    <x v="1"/>
    <n v="0.123309241094476"/>
    <n v="4777"/>
    <n v="30671"/>
    <s v="During"/>
    <n v="0.15574973101626943"/>
  </r>
  <r>
    <x v="212"/>
    <x v="3"/>
    <d v="2025-05-01T00:00:00"/>
    <x v="3"/>
    <s v="Check out our latest carousel on facebook!"/>
    <n v="2696"/>
    <n v="628"/>
    <n v="443"/>
    <n v="45832"/>
    <n v="45632"/>
    <n v="248"/>
    <x v="4"/>
    <x v="3"/>
    <n v="8.21914819340199E-2"/>
    <n v="3767"/>
    <n v="9566"/>
    <s v="During"/>
    <n v="0.3937905080493414"/>
  </r>
  <r>
    <x v="213"/>
    <x v="2"/>
    <d v="2024-12-23T00:00:00"/>
    <x v="4"/>
    <s v="Check out our latest image on instagram!"/>
    <n v="521"/>
    <n v="746"/>
    <n v="315"/>
    <n v="4168"/>
    <n v="3399"/>
    <n v="282"/>
    <x v="0"/>
    <x v="1"/>
    <n v="0.37955854126679461"/>
    <n v="1582"/>
    <n v="5904"/>
    <s v="During"/>
    <n v="0.26795392953929537"/>
  </r>
  <r>
    <x v="214"/>
    <x v="3"/>
    <d v="2025-05-06T00:00:00"/>
    <x v="4"/>
    <s v="Check out our latest image on facebook!"/>
    <n v="4872"/>
    <n v="925"/>
    <n v="176"/>
    <n v="82824"/>
    <n v="82543"/>
    <n v="89"/>
    <x v="4"/>
    <x v="1"/>
    <n v="7.2116777745580993E-2"/>
    <n v="5973"/>
    <n v="9566"/>
    <s v="During"/>
    <n v="0.62439891281622417"/>
  </r>
  <r>
    <x v="215"/>
    <x v="1"/>
    <d v="2024-07-29T00:00:00"/>
    <x v="2"/>
    <s v="Check out our latest story on youtube!"/>
    <n v="1509"/>
    <n v="88"/>
    <n v="163"/>
    <n v="30180"/>
    <n v="29689"/>
    <n v="119"/>
    <x v="4"/>
    <x v="1"/>
    <n v="5.8316766070245198E-2"/>
    <n v="1760"/>
    <n v="30671"/>
    <s v="Before"/>
    <n v="5.7383195852759937E-2"/>
  </r>
  <r>
    <x v="216"/>
    <x v="3"/>
    <d v="2024-12-03T00:00:00"/>
    <x v="4"/>
    <s v="Check out our latest image on facebook!"/>
    <n v="4606"/>
    <n v="931"/>
    <n v="230"/>
    <n v="92120"/>
    <n v="91440"/>
    <n v="56"/>
    <x v="2"/>
    <x v="4"/>
    <n v="6.2603126356925748E-2"/>
    <n v="5767"/>
    <n v="9566"/>
    <s v="Not Found"/>
    <n v="0.60286431110181893"/>
  </r>
  <r>
    <x v="217"/>
    <x v="3"/>
    <d v="2024-06-11T00:00:00"/>
    <x v="3"/>
    <s v="Check out our latest carousel on facebook!"/>
    <n v="1869"/>
    <n v="453"/>
    <n v="490"/>
    <n v="14952"/>
    <n v="14309"/>
    <n v="275"/>
    <x v="2"/>
    <x v="3"/>
    <n v="0.18806848582129482"/>
    <n v="2812"/>
    <n v="9566"/>
    <s v="Before"/>
    <n v="0.2939577670917834"/>
  </r>
  <r>
    <x v="218"/>
    <x v="0"/>
    <d v="2025-01-28T00:00:00"/>
    <x v="0"/>
    <s v="Check out our latest reel on twitter!"/>
    <n v="1188"/>
    <n v="470"/>
    <n v="174"/>
    <n v="7128"/>
    <n v="6145"/>
    <n v="270"/>
    <x v="2"/>
    <x v="3"/>
    <n v="0.25701459034792368"/>
    <n v="1832"/>
    <n v="26752"/>
    <s v="Before"/>
    <n v="6.8480861244019142E-2"/>
  </r>
  <r>
    <x v="219"/>
    <x v="2"/>
    <d v="2024-06-02T00:00:00"/>
    <x v="2"/>
    <s v="Check out our latest story on instagram!"/>
    <n v="84"/>
    <n v="897"/>
    <n v="85"/>
    <n v="588"/>
    <n v="8"/>
    <n v="12"/>
    <x v="4"/>
    <x v="4"/>
    <n v="1.8129251700680271"/>
    <n v="1066"/>
    <n v="5904"/>
    <s v="Not Found"/>
    <n v="0.18055555555555555"/>
  </r>
  <r>
    <x v="220"/>
    <x v="3"/>
    <d v="2025-03-23T00:00:00"/>
    <x v="5"/>
    <s v="Check out our latest video on facebook!"/>
    <n v="4453"/>
    <n v="111"/>
    <n v="420"/>
    <n v="31171"/>
    <n v="30565"/>
    <n v="23"/>
    <x v="2"/>
    <x v="4"/>
    <n v="0.15989220750056141"/>
    <n v="4984"/>
    <n v="9566"/>
    <s v="Not Found"/>
    <n v="0.52101191720677398"/>
  </r>
  <r>
    <x v="221"/>
    <x v="3"/>
    <d v="2024-10-08T00:00:00"/>
    <x v="0"/>
    <s v="Check out our latest reel on facebook!"/>
    <n v="1814"/>
    <n v="653"/>
    <n v="363"/>
    <n v="25396"/>
    <n v="25286"/>
    <n v="39"/>
    <x v="0"/>
    <x v="0"/>
    <n v="0.11143487163332809"/>
    <n v="2830"/>
    <n v="9566"/>
    <s v="During"/>
    <n v="0.29583943131925572"/>
  </r>
  <r>
    <x v="221"/>
    <x v="3"/>
    <d v="2024-10-08T00:00:00"/>
    <x v="0"/>
    <s v="Check out our latest reel on facebook!"/>
    <n v="1814"/>
    <n v="653"/>
    <n v="363"/>
    <n v="25396"/>
    <n v="25286"/>
    <n v="39"/>
    <x v="5"/>
    <x v="0"/>
    <n v="0.11143487163332809"/>
    <n v="2830"/>
    <n v="9566"/>
    <s v="During"/>
    <n v="0.29583943131925572"/>
  </r>
  <r>
    <x v="222"/>
    <x v="0"/>
    <d v="2024-11-12T00:00:00"/>
    <x v="4"/>
    <s v="Check out our latest image on twitter!"/>
    <n v="3338"/>
    <n v="277"/>
    <n v="118"/>
    <n v="60084"/>
    <n v="59842"/>
    <n v="252"/>
    <x v="2"/>
    <x v="4"/>
    <n v="6.2129685107516146E-2"/>
    <n v="3733"/>
    <n v="26752"/>
    <s v="Not Found"/>
    <n v="0.13954096889952153"/>
  </r>
  <r>
    <x v="223"/>
    <x v="3"/>
    <d v="2025-05-13T00:00:00"/>
    <x v="4"/>
    <s v="Check out our latest image on facebook!"/>
    <n v="602"/>
    <n v="594"/>
    <n v="156"/>
    <n v="4214"/>
    <n v="3363"/>
    <n v="164"/>
    <x v="2"/>
    <x v="2"/>
    <n v="0.32083531086853345"/>
    <n v="1352"/>
    <n v="9566"/>
    <s v="During"/>
    <n v="0.14133389086347481"/>
  </r>
  <r>
    <x v="224"/>
    <x v="0"/>
    <d v="2024-06-20T00:00:00"/>
    <x v="3"/>
    <s v="Check out our latest carousel on twitter!"/>
    <n v="4672"/>
    <n v="325"/>
    <n v="32"/>
    <n v="88768"/>
    <n v="87833"/>
    <n v="118"/>
    <x v="4"/>
    <x v="4"/>
    <n v="5.6653298485940883E-2"/>
    <n v="5029"/>
    <n v="26752"/>
    <s v="Not Found"/>
    <n v="0.18798594497607657"/>
  </r>
  <r>
    <x v="225"/>
    <x v="2"/>
    <d v="2024-08-07T00:00:00"/>
    <x v="3"/>
    <s v="Check out our latest carousel on instagram!"/>
    <n v="1741"/>
    <n v="164"/>
    <n v="318"/>
    <n v="8705"/>
    <n v="8272"/>
    <n v="121"/>
    <x v="2"/>
    <x v="4"/>
    <n v="0.25537047673750718"/>
    <n v="2223"/>
    <n v="5904"/>
    <s v="Not Found"/>
    <n v="0.37652439024390244"/>
  </r>
  <r>
    <x v="226"/>
    <x v="2"/>
    <d v="2024-06-12T00:00:00"/>
    <x v="1"/>
    <s v="Check out our latest text on instagram!"/>
    <n v="246"/>
    <n v="149"/>
    <n v="130"/>
    <n v="4674"/>
    <n v="4390"/>
    <n v="217"/>
    <x v="0"/>
    <x v="2"/>
    <n v="0.11232349165596919"/>
    <n v="525"/>
    <n v="5904"/>
    <s v="Before"/>
    <n v="8.8922764227642281E-2"/>
  </r>
  <r>
    <x v="227"/>
    <x v="2"/>
    <d v="2024-07-01T00:00:00"/>
    <x v="2"/>
    <s v="Check out our latest story on instagram!"/>
    <n v="4808"/>
    <n v="772"/>
    <n v="320"/>
    <n v="72120"/>
    <n v="71696"/>
    <n v="195"/>
    <x v="4"/>
    <x v="0"/>
    <n v="8.1808097615085965E-2"/>
    <n v="5900"/>
    <n v="5904"/>
    <s v="During"/>
    <n v="0.99932249322493227"/>
  </r>
  <r>
    <x v="228"/>
    <x v="2"/>
    <d v="2024-07-03T00:00:00"/>
    <x v="3"/>
    <s v="Check out our latest carousel on instagram!"/>
    <n v="4799"/>
    <n v="694"/>
    <n v="289"/>
    <n v="43191"/>
    <n v="42228"/>
    <n v="118"/>
    <x v="2"/>
    <x v="4"/>
    <n v="0.13387048227640017"/>
    <n v="5782"/>
    <n v="5904"/>
    <s v="Not Found"/>
    <n v="0.97933604336043356"/>
  </r>
  <r>
    <x v="229"/>
    <x v="3"/>
    <d v="2024-07-15T00:00:00"/>
    <x v="0"/>
    <s v="Check out our latest reel on facebook!"/>
    <n v="3663"/>
    <n v="17"/>
    <n v="295"/>
    <n v="51282"/>
    <n v="50567"/>
    <n v="84"/>
    <x v="4"/>
    <x v="2"/>
    <n v="7.7512577512577507E-2"/>
    <n v="3975"/>
    <n v="9566"/>
    <s v="Before"/>
    <n v="0.41553418356679905"/>
  </r>
  <r>
    <x v="230"/>
    <x v="2"/>
    <d v="2025-05-01T00:00:00"/>
    <x v="1"/>
    <s v="Check out our latest text on instagram!"/>
    <n v="1430"/>
    <n v="376"/>
    <n v="33"/>
    <n v="21450"/>
    <n v="20509"/>
    <n v="251"/>
    <x v="0"/>
    <x v="0"/>
    <n v="8.5734265734265735E-2"/>
    <n v="1839"/>
    <n v="5904"/>
    <s v="During"/>
    <n v="0.31148373983739835"/>
  </r>
  <r>
    <x v="231"/>
    <x v="0"/>
    <d v="2025-04-29T00:00:00"/>
    <x v="2"/>
    <s v="Check out our latest story on twitter!"/>
    <n v="249"/>
    <n v="592"/>
    <n v="230"/>
    <n v="1494"/>
    <n v="1044"/>
    <n v="201"/>
    <x v="4"/>
    <x v="3"/>
    <n v="0.7168674698795181"/>
    <n v="1071"/>
    <n v="26752"/>
    <s v="During"/>
    <n v="4.003438995215311E-2"/>
  </r>
  <r>
    <x v="232"/>
    <x v="3"/>
    <d v="2025-03-08T00:00:00"/>
    <x v="4"/>
    <s v="Check out our latest image on facebook!"/>
    <n v="2382"/>
    <n v="265"/>
    <n v="134"/>
    <n v="38112"/>
    <n v="37437"/>
    <n v="249"/>
    <x v="0"/>
    <x v="3"/>
    <n v="7.2969143576826198E-2"/>
    <n v="2781"/>
    <n v="9566"/>
    <s v="During"/>
    <n v="0.29071712314447001"/>
  </r>
  <r>
    <x v="233"/>
    <x v="3"/>
    <d v="2024-06-01T00:00:00"/>
    <x v="1"/>
    <s v="Check out our latest text on facebook!"/>
    <n v="1272"/>
    <n v="465"/>
    <n v="99"/>
    <n v="24168"/>
    <n v="23719"/>
    <n v="42"/>
    <x v="2"/>
    <x v="4"/>
    <n v="7.5968222442899705E-2"/>
    <n v="1836"/>
    <n v="9566"/>
    <s v="Not Found"/>
    <n v="0.19192975120217437"/>
  </r>
  <r>
    <x v="234"/>
    <x v="3"/>
    <d v="2024-12-22T00:00:00"/>
    <x v="4"/>
    <s v="Check out our latest image on facebook!"/>
    <n v="3196"/>
    <n v="941"/>
    <n v="376"/>
    <n v="35156"/>
    <n v="34444"/>
    <n v="241"/>
    <x v="2"/>
    <x v="2"/>
    <n v="0.1283706906360223"/>
    <n v="4513"/>
    <n v="9566"/>
    <s v="Before"/>
    <n v="0.47177503658791553"/>
  </r>
  <r>
    <x v="235"/>
    <x v="3"/>
    <d v="2024-08-19T00:00:00"/>
    <x v="1"/>
    <s v="Check out our latest text on facebook!"/>
    <n v="1257"/>
    <n v="19"/>
    <n v="351"/>
    <n v="12570"/>
    <n v="11660"/>
    <n v="194"/>
    <x v="0"/>
    <x v="1"/>
    <n v="0.12943516308671441"/>
    <n v="1627"/>
    <n v="9566"/>
    <s v="Before"/>
    <n v="0.17008153878319046"/>
  </r>
  <r>
    <x v="235"/>
    <x v="3"/>
    <d v="2024-08-19T00:00:00"/>
    <x v="1"/>
    <s v="Check out our latest text on facebook!"/>
    <n v="1257"/>
    <n v="19"/>
    <n v="351"/>
    <n v="12570"/>
    <n v="11660"/>
    <n v="194"/>
    <x v="1"/>
    <x v="1"/>
    <n v="0.12943516308671441"/>
    <n v="1627"/>
    <n v="9566"/>
    <s v="Before"/>
    <n v="0.17008153878319046"/>
  </r>
  <r>
    <x v="235"/>
    <x v="3"/>
    <d v="2024-08-19T00:00:00"/>
    <x v="1"/>
    <s v="Check out our latest text on facebook!"/>
    <n v="1257"/>
    <n v="19"/>
    <n v="351"/>
    <n v="12570"/>
    <n v="11660"/>
    <n v="194"/>
    <x v="4"/>
    <x v="1"/>
    <n v="0.12943516308671441"/>
    <n v="1627"/>
    <n v="9566"/>
    <s v="Before"/>
    <n v="0.17008153878319046"/>
  </r>
  <r>
    <x v="236"/>
    <x v="2"/>
    <d v="2024-10-22T00:00:00"/>
    <x v="2"/>
    <s v="Check out our latest story on instagram!"/>
    <n v="3770"/>
    <n v="917"/>
    <n v="129"/>
    <n v="71630"/>
    <n v="71322"/>
    <n v="76"/>
    <x v="0"/>
    <x v="0"/>
    <n v="6.7234398994834563E-2"/>
    <n v="4816"/>
    <n v="5904"/>
    <s v="During"/>
    <n v="0.81571815718157181"/>
  </r>
  <r>
    <x v="237"/>
    <x v="0"/>
    <d v="2024-07-16T00:00:00"/>
    <x v="1"/>
    <s v="Check out our latest text on twitter!"/>
    <n v="4725"/>
    <n v="400"/>
    <n v="362"/>
    <n v="75600"/>
    <n v="74927"/>
    <n v="43"/>
    <x v="0"/>
    <x v="3"/>
    <n v="7.2579365079365077E-2"/>
    <n v="5487"/>
    <n v="26752"/>
    <s v="Before"/>
    <n v="0.20510616028708134"/>
  </r>
  <r>
    <x v="238"/>
    <x v="1"/>
    <d v="2025-02-24T00:00:00"/>
    <x v="1"/>
    <s v="Check out our latest text on youtube!"/>
    <n v="4188"/>
    <n v="942"/>
    <n v="118"/>
    <n v="20940"/>
    <n v="20471"/>
    <n v="102"/>
    <x v="0"/>
    <x v="4"/>
    <n v="0.25062082139446035"/>
    <n v="5248"/>
    <n v="30671"/>
    <s v="Not Found"/>
    <n v="0.17110625672459326"/>
  </r>
  <r>
    <x v="239"/>
    <x v="0"/>
    <d v="2024-08-26T00:00:00"/>
    <x v="3"/>
    <s v="Check out our latest carousel on twitter!"/>
    <n v="929"/>
    <n v="192"/>
    <n v="322"/>
    <n v="16722"/>
    <n v="15996"/>
    <n v="145"/>
    <x v="4"/>
    <x v="2"/>
    <n v="8.6293505561535699E-2"/>
    <n v="1443"/>
    <n v="26752"/>
    <s v="Before"/>
    <n v="5.3939892344497607E-2"/>
  </r>
  <r>
    <x v="239"/>
    <x v="0"/>
    <d v="2024-08-26T00:00:00"/>
    <x v="3"/>
    <s v="Check out our latest carousel on twitter!"/>
    <n v="929"/>
    <n v="192"/>
    <n v="322"/>
    <n v="16722"/>
    <n v="15996"/>
    <n v="145"/>
    <x v="2"/>
    <x v="2"/>
    <n v="8.6293505561535699E-2"/>
    <n v="1443"/>
    <n v="26752"/>
    <s v="Before"/>
    <n v="5.3939892344497607E-2"/>
  </r>
  <r>
    <x v="239"/>
    <x v="0"/>
    <d v="2024-08-26T00:00:00"/>
    <x v="3"/>
    <s v="Check out our latest carousel on twitter!"/>
    <n v="929"/>
    <n v="192"/>
    <n v="322"/>
    <n v="16722"/>
    <n v="15996"/>
    <n v="145"/>
    <x v="1"/>
    <x v="2"/>
    <n v="8.6293505561535699E-2"/>
    <n v="1443"/>
    <n v="26752"/>
    <s v="Before"/>
    <n v="5.3939892344497607E-2"/>
  </r>
  <r>
    <x v="240"/>
    <x v="3"/>
    <d v="2025-01-18T00:00:00"/>
    <x v="2"/>
    <s v="Check out our latest story on facebook!"/>
    <n v="4321"/>
    <n v="874"/>
    <n v="172"/>
    <n v="30247"/>
    <n v="29254"/>
    <n v="122"/>
    <x v="2"/>
    <x v="3"/>
    <n v="0.17743908486792079"/>
    <n v="5367"/>
    <n v="9566"/>
    <s v="Before"/>
    <n v="0.56104955049132343"/>
  </r>
  <r>
    <x v="241"/>
    <x v="3"/>
    <d v="2024-07-07T00:00:00"/>
    <x v="0"/>
    <s v="Check out our latest reel on facebook!"/>
    <n v="4767"/>
    <n v="190"/>
    <n v="340"/>
    <n v="28602"/>
    <n v="28044"/>
    <n v="210"/>
    <x v="4"/>
    <x v="2"/>
    <n v="0.18519683938186141"/>
    <n v="5297"/>
    <n v="9566"/>
    <s v="Before"/>
    <n v="0.55373196738448671"/>
  </r>
  <r>
    <x v="242"/>
    <x v="0"/>
    <d v="2025-03-06T00:00:00"/>
    <x v="4"/>
    <s v="Check out our latest image on twitter!"/>
    <n v="3592"/>
    <n v="911"/>
    <n v="375"/>
    <n v="50288"/>
    <n v="49490"/>
    <n v="32"/>
    <x v="0"/>
    <x v="3"/>
    <n v="9.7001272669424113E-2"/>
    <n v="4878"/>
    <n v="26752"/>
    <s v="During"/>
    <n v="0.18234150717703348"/>
  </r>
  <r>
    <x v="243"/>
    <x v="1"/>
    <d v="2024-10-25T00:00:00"/>
    <x v="5"/>
    <s v="Check out our latest video on youtube!"/>
    <n v="4661"/>
    <n v="935"/>
    <n v="433"/>
    <n v="23305"/>
    <n v="22583"/>
    <n v="63"/>
    <x v="0"/>
    <x v="2"/>
    <n v="0.25869984981763572"/>
    <n v="6029"/>
    <n v="30671"/>
    <s v="Before"/>
    <n v="0.1965700498842555"/>
  </r>
  <r>
    <x v="244"/>
    <x v="3"/>
    <d v="2025-01-12T00:00:00"/>
    <x v="0"/>
    <s v="Check out our latest reel on facebook!"/>
    <n v="4134"/>
    <n v="824"/>
    <n v="99"/>
    <n v="41340"/>
    <n v="41050"/>
    <n v="177"/>
    <x v="4"/>
    <x v="0"/>
    <n v="0.12232704402515723"/>
    <n v="5057"/>
    <n v="9566"/>
    <s v="During"/>
    <n v="0.52864311101818939"/>
  </r>
  <r>
    <x v="245"/>
    <x v="3"/>
    <d v="2024-10-11T00:00:00"/>
    <x v="4"/>
    <s v="Check out our latest image on facebook!"/>
    <n v="400"/>
    <n v="680"/>
    <n v="434"/>
    <n v="6400"/>
    <n v="5472"/>
    <n v="160"/>
    <x v="0"/>
    <x v="1"/>
    <n v="0.23656250000000001"/>
    <n v="1514"/>
    <n v="9566"/>
    <s v="During"/>
    <n v="0.15826886891072547"/>
  </r>
  <r>
    <x v="246"/>
    <x v="3"/>
    <d v="2024-08-27T00:00:00"/>
    <x v="0"/>
    <s v="Check out our latest reel on facebook!"/>
    <n v="3960"/>
    <n v="266"/>
    <n v="8"/>
    <n v="35640"/>
    <n v="34850"/>
    <n v="208"/>
    <x v="0"/>
    <x v="4"/>
    <n v="0.11879910213243547"/>
    <n v="4234"/>
    <n v="9566"/>
    <s v="Not Found"/>
    <n v="0.44260924106209493"/>
  </r>
  <r>
    <x v="246"/>
    <x v="3"/>
    <d v="2024-08-27T00:00:00"/>
    <x v="0"/>
    <s v="Check out our latest reel on facebook!"/>
    <n v="3960"/>
    <n v="266"/>
    <n v="8"/>
    <n v="35640"/>
    <n v="34850"/>
    <n v="208"/>
    <x v="4"/>
    <x v="4"/>
    <n v="0.11879910213243547"/>
    <n v="4234"/>
    <n v="9566"/>
    <s v="Not Found"/>
    <n v="0.44260924106209493"/>
  </r>
  <r>
    <x v="246"/>
    <x v="3"/>
    <d v="2024-08-27T00:00:00"/>
    <x v="0"/>
    <s v="Check out our latest reel on facebook!"/>
    <n v="3960"/>
    <n v="266"/>
    <n v="8"/>
    <n v="35640"/>
    <n v="34850"/>
    <n v="208"/>
    <x v="3"/>
    <x v="4"/>
    <n v="0.11879910213243547"/>
    <n v="4234"/>
    <n v="9566"/>
    <s v="Not Found"/>
    <n v="0.44260924106209493"/>
  </r>
  <r>
    <x v="247"/>
    <x v="3"/>
    <d v="2025-02-02T00:00:00"/>
    <x v="2"/>
    <s v="Check out our latest story on facebook!"/>
    <n v="886"/>
    <n v="126"/>
    <n v="153"/>
    <n v="4430"/>
    <n v="4037"/>
    <n v="212"/>
    <x v="4"/>
    <x v="4"/>
    <n v="0.26297968397291194"/>
    <n v="1165"/>
    <n v="9566"/>
    <s v="Not Found"/>
    <n v="0.12178549027806816"/>
  </r>
  <r>
    <x v="248"/>
    <x v="0"/>
    <d v="2024-07-18T00:00:00"/>
    <x v="4"/>
    <s v="Check out our latest image on twitter!"/>
    <n v="827"/>
    <n v="77"/>
    <n v="402"/>
    <n v="14886"/>
    <n v="14129"/>
    <n v="254"/>
    <x v="4"/>
    <x v="1"/>
    <n v="8.7733440816874911E-2"/>
    <n v="1306"/>
    <n v="26752"/>
    <s v="Before"/>
    <n v="4.881877990430622E-2"/>
  </r>
  <r>
    <x v="249"/>
    <x v="3"/>
    <d v="2024-06-22T00:00:00"/>
    <x v="0"/>
    <s v="Check out our latest reel on facebook!"/>
    <n v="3813"/>
    <n v="935"/>
    <n v="274"/>
    <n v="68634"/>
    <n v="68488"/>
    <n v="251"/>
    <x v="0"/>
    <x v="4"/>
    <n v="7.3170731707317069E-2"/>
    <n v="5022"/>
    <n v="9566"/>
    <s v="Not Found"/>
    <n v="0.52498431946477109"/>
  </r>
  <r>
    <x v="250"/>
    <x v="2"/>
    <d v="2025-03-27T00:00:00"/>
    <x v="3"/>
    <s v="Check out our latest carousel on instagram!"/>
    <n v="1377"/>
    <n v="796"/>
    <n v="387"/>
    <n v="22032"/>
    <n v="21869"/>
    <n v="189"/>
    <x v="0"/>
    <x v="4"/>
    <n v="0.11619462599854757"/>
    <n v="2560"/>
    <n v="5904"/>
    <s v="Not Found"/>
    <n v="0.43360433604336046"/>
  </r>
  <r>
    <x v="251"/>
    <x v="3"/>
    <d v="2025-04-28T00:00:00"/>
    <x v="3"/>
    <s v="Check out our latest carousel on facebook!"/>
    <n v="2089"/>
    <n v="476"/>
    <n v="69"/>
    <n v="16712"/>
    <n v="16309"/>
    <n v="64"/>
    <x v="0"/>
    <x v="2"/>
    <n v="0.15761129727142173"/>
    <n v="2634"/>
    <n v="9566"/>
    <s v="During"/>
    <n v="0.2753501986201129"/>
  </r>
  <r>
    <x v="252"/>
    <x v="0"/>
    <d v="2024-08-03T00:00:00"/>
    <x v="0"/>
    <s v="Check out our latest reel on twitter!"/>
    <n v="3791"/>
    <n v="593"/>
    <n v="228"/>
    <n v="53074"/>
    <n v="52613"/>
    <n v="205"/>
    <x v="4"/>
    <x v="4"/>
    <n v="8.6897539284772202E-2"/>
    <n v="4612"/>
    <n v="26752"/>
    <s v="Not Found"/>
    <n v="0.17239832535885166"/>
  </r>
  <r>
    <x v="253"/>
    <x v="0"/>
    <d v="2025-01-14T00:00:00"/>
    <x v="4"/>
    <s v="Check out our latest image on twitter!"/>
    <n v="2692"/>
    <n v="115"/>
    <n v="64"/>
    <n v="21536"/>
    <n v="21120"/>
    <n v="224"/>
    <x v="0"/>
    <x v="1"/>
    <n v="0.13331166419019316"/>
    <n v="2871"/>
    <n v="26752"/>
    <s v="During"/>
    <n v="0.10731907894736842"/>
  </r>
  <r>
    <x v="254"/>
    <x v="3"/>
    <d v="2025-04-03T00:00:00"/>
    <x v="2"/>
    <s v="Check out our latest story on facebook!"/>
    <n v="3767"/>
    <n v="514"/>
    <n v="238"/>
    <n v="37670"/>
    <n v="36807"/>
    <n v="226"/>
    <x v="0"/>
    <x v="3"/>
    <n v="0.11996283514733209"/>
    <n v="4519"/>
    <n v="9566"/>
    <s v="During"/>
    <n v="0.47240225799707297"/>
  </r>
  <r>
    <x v="255"/>
    <x v="1"/>
    <d v="2024-09-18T00:00:00"/>
    <x v="3"/>
    <s v="Check out our latest carousel on youtube!"/>
    <n v="2143"/>
    <n v="12"/>
    <n v="204"/>
    <n v="40717"/>
    <n v="40125"/>
    <n v="248"/>
    <x v="4"/>
    <x v="1"/>
    <n v="5.7936488444630008E-2"/>
    <n v="2359"/>
    <n v="30671"/>
    <s v="Before"/>
    <n v="7.6913044895829938E-2"/>
  </r>
  <r>
    <x v="256"/>
    <x v="3"/>
    <d v="2025-04-06T00:00:00"/>
    <x v="4"/>
    <s v="Check out our latest image on facebook!"/>
    <n v="3090"/>
    <n v="697"/>
    <n v="164"/>
    <n v="49440"/>
    <n v="48524"/>
    <n v="25"/>
    <x v="4"/>
    <x v="1"/>
    <n v="7.9915048543689318E-2"/>
    <n v="3951"/>
    <n v="9566"/>
    <s v="During"/>
    <n v="0.41302529793016934"/>
  </r>
  <r>
    <x v="256"/>
    <x v="3"/>
    <d v="2025-04-06T00:00:00"/>
    <x v="4"/>
    <s v="Check out our latest image on facebook!"/>
    <n v="3090"/>
    <n v="697"/>
    <n v="164"/>
    <n v="49440"/>
    <n v="48524"/>
    <n v="25"/>
    <x v="4"/>
    <x v="1"/>
    <n v="7.9915048543689318E-2"/>
    <n v="3951"/>
    <n v="9566"/>
    <s v="During"/>
    <n v="0.41302529793016934"/>
  </r>
  <r>
    <x v="256"/>
    <x v="3"/>
    <d v="2025-04-06T00:00:00"/>
    <x v="4"/>
    <s v="Check out our latest image on facebook!"/>
    <n v="3090"/>
    <n v="697"/>
    <n v="164"/>
    <n v="49440"/>
    <n v="48524"/>
    <n v="25"/>
    <x v="3"/>
    <x v="1"/>
    <n v="7.9915048543689318E-2"/>
    <n v="3951"/>
    <n v="9566"/>
    <s v="During"/>
    <n v="0.41302529793016934"/>
  </r>
  <r>
    <x v="257"/>
    <x v="2"/>
    <d v="2024-08-05T00:00:00"/>
    <x v="2"/>
    <s v="Check out our latest story on instagram!"/>
    <n v="3601"/>
    <n v="695"/>
    <n v="75"/>
    <n v="21606"/>
    <n v="21454"/>
    <n v="172"/>
    <x v="4"/>
    <x v="1"/>
    <n v="0.2023049153013052"/>
    <n v="4371"/>
    <n v="5904"/>
    <s v="Before"/>
    <n v="0.74034552845528456"/>
  </r>
  <r>
    <x v="258"/>
    <x v="3"/>
    <d v="2025-02-10T00:00:00"/>
    <x v="1"/>
    <s v="Check out our latest text on facebook!"/>
    <n v="562"/>
    <n v="158"/>
    <n v="149"/>
    <n v="3372"/>
    <n v="2940"/>
    <n v="93"/>
    <x v="2"/>
    <x v="0"/>
    <n v="0.25771055753262156"/>
    <n v="869"/>
    <n v="9566"/>
    <s v="During"/>
    <n v="9.0842567426301479E-2"/>
  </r>
  <r>
    <x v="259"/>
    <x v="2"/>
    <d v="2025-02-12T00:00:00"/>
    <x v="2"/>
    <s v="Check out our latest story on instagram!"/>
    <n v="4332"/>
    <n v="771"/>
    <n v="219"/>
    <n v="60648"/>
    <n v="60397"/>
    <n v="10"/>
    <x v="2"/>
    <x v="2"/>
    <n v="8.7752275425405618E-2"/>
    <n v="5322"/>
    <n v="5904"/>
    <s v="During"/>
    <n v="0.90142276422764223"/>
  </r>
  <r>
    <x v="259"/>
    <x v="2"/>
    <d v="2025-02-12T00:00:00"/>
    <x v="2"/>
    <s v="Check out our latest story on instagram!"/>
    <n v="4332"/>
    <n v="771"/>
    <n v="219"/>
    <n v="60648"/>
    <n v="60397"/>
    <n v="10"/>
    <x v="4"/>
    <x v="2"/>
    <n v="8.7752275425405618E-2"/>
    <n v="5322"/>
    <n v="5904"/>
    <s v="During"/>
    <n v="0.90142276422764223"/>
  </r>
  <r>
    <x v="259"/>
    <x v="2"/>
    <d v="2025-02-12T00:00:00"/>
    <x v="2"/>
    <s v="Check out our latest story on instagram!"/>
    <n v="4332"/>
    <n v="771"/>
    <n v="219"/>
    <n v="60648"/>
    <n v="60397"/>
    <n v="10"/>
    <x v="3"/>
    <x v="2"/>
    <n v="8.7752275425405618E-2"/>
    <n v="5322"/>
    <n v="5904"/>
    <s v="During"/>
    <n v="0.90142276422764223"/>
  </r>
  <r>
    <x v="260"/>
    <x v="2"/>
    <d v="2024-10-27T00:00:00"/>
    <x v="4"/>
    <s v="Check out our latest image on instagram!"/>
    <n v="4853"/>
    <n v="837"/>
    <n v="340"/>
    <n v="72795"/>
    <n v="72237"/>
    <n v="170"/>
    <x v="4"/>
    <x v="0"/>
    <n v="8.2835359571399134E-2"/>
    <n v="6030"/>
    <n v="5904"/>
    <s v="During"/>
    <n v="1.0213414634146341"/>
  </r>
  <r>
    <x v="261"/>
    <x v="1"/>
    <d v="2025-01-18T00:00:00"/>
    <x v="4"/>
    <s v="Check out our latest image on youtube!"/>
    <n v="1206"/>
    <n v="238"/>
    <n v="36"/>
    <n v="9648"/>
    <n v="9417"/>
    <n v="237"/>
    <x v="2"/>
    <x v="4"/>
    <n v="0.15339966832504145"/>
    <n v="1480"/>
    <n v="30671"/>
    <s v="Not Found"/>
    <n v="4.8254051058002671E-2"/>
  </r>
  <r>
    <x v="262"/>
    <x v="2"/>
    <d v="2024-08-20T00:00:00"/>
    <x v="0"/>
    <s v="Check out our latest reel on instagram!"/>
    <n v="2603"/>
    <n v="690"/>
    <n v="205"/>
    <n v="13015"/>
    <n v="12130"/>
    <n v="20"/>
    <x v="0"/>
    <x v="1"/>
    <n v="0.26876680752977333"/>
    <n v="3498"/>
    <n v="5904"/>
    <s v="Before"/>
    <n v="0.59247967479674801"/>
  </r>
  <r>
    <x v="263"/>
    <x v="0"/>
    <d v="2025-01-30T00:00:00"/>
    <x v="4"/>
    <s v="Check out our latest image on twitter!"/>
    <n v="59"/>
    <n v="163"/>
    <n v="93"/>
    <n v="590"/>
    <n v="475"/>
    <n v="293"/>
    <x v="2"/>
    <x v="1"/>
    <n v="0.53389830508474578"/>
    <n v="315"/>
    <n v="26752"/>
    <s v="During"/>
    <n v="1.1774820574162679E-2"/>
  </r>
  <r>
    <x v="264"/>
    <x v="0"/>
    <d v="2025-02-20T00:00:00"/>
    <x v="3"/>
    <s v="Check out our latest carousel on twitter!"/>
    <n v="1877"/>
    <n v="745"/>
    <n v="225"/>
    <n v="11262"/>
    <n v="10967"/>
    <n v="41"/>
    <x v="4"/>
    <x v="3"/>
    <n v="0.25279701651571657"/>
    <n v="2847"/>
    <n v="26752"/>
    <s v="Before"/>
    <n v="0.10642194976076555"/>
  </r>
  <r>
    <x v="265"/>
    <x v="3"/>
    <d v="2024-11-25T00:00:00"/>
    <x v="2"/>
    <s v="Check out our latest story on facebook!"/>
    <n v="4182"/>
    <n v="640"/>
    <n v="240"/>
    <n v="50184"/>
    <n v="49351"/>
    <n v="10"/>
    <x v="2"/>
    <x v="2"/>
    <n v="0.10086880280567512"/>
    <n v="5062"/>
    <n v="9566"/>
    <s v="Before"/>
    <n v="0.52916579552582066"/>
  </r>
  <r>
    <x v="266"/>
    <x v="0"/>
    <d v="2024-10-04T00:00:00"/>
    <x v="0"/>
    <s v="Check out our latest reel on twitter!"/>
    <n v="4187"/>
    <n v="66"/>
    <n v="31"/>
    <n v="66992"/>
    <n v="66614"/>
    <n v="62"/>
    <x v="0"/>
    <x v="4"/>
    <n v="6.3947934081681396E-2"/>
    <n v="4284"/>
    <n v="26752"/>
    <s v="Not Found"/>
    <n v="0.16013755980861244"/>
  </r>
  <r>
    <x v="267"/>
    <x v="2"/>
    <d v="2025-04-13T00:00:00"/>
    <x v="0"/>
    <s v="Check out our latest reel on instagram!"/>
    <n v="4579"/>
    <n v="125"/>
    <n v="300"/>
    <n v="59527"/>
    <n v="59400"/>
    <n v="269"/>
    <x v="4"/>
    <x v="0"/>
    <n v="8.4062694239588759E-2"/>
    <n v="5004"/>
    <n v="5904"/>
    <s v="During"/>
    <n v="0.84756097560975607"/>
  </r>
  <r>
    <x v="268"/>
    <x v="2"/>
    <d v="2024-11-05T00:00:00"/>
    <x v="5"/>
    <s v="Check out our latest video on instagram!"/>
    <n v="4561"/>
    <n v="51"/>
    <n v="441"/>
    <n v="22805"/>
    <n v="21890"/>
    <n v="45"/>
    <x v="2"/>
    <x v="1"/>
    <n v="0.22157421618066214"/>
    <n v="5053"/>
    <n v="5904"/>
    <s v="During"/>
    <n v="0.85586043360433606"/>
  </r>
  <r>
    <x v="269"/>
    <x v="1"/>
    <d v="2025-01-15T00:00:00"/>
    <x v="0"/>
    <s v="Check out our latest reel on youtube!"/>
    <n v="3774"/>
    <n v="239"/>
    <n v="39"/>
    <n v="60384"/>
    <n v="59490"/>
    <n v="241"/>
    <x v="2"/>
    <x v="2"/>
    <n v="6.7103868574456813E-2"/>
    <n v="4052"/>
    <n v="30671"/>
    <s v="During"/>
    <n v="0.13211176681555867"/>
  </r>
  <r>
    <x v="270"/>
    <x v="2"/>
    <d v="2024-10-17T00:00:00"/>
    <x v="5"/>
    <s v="Check out our latest video on instagram!"/>
    <n v="3575"/>
    <n v="749"/>
    <n v="111"/>
    <n v="21450"/>
    <n v="20785"/>
    <n v="195"/>
    <x v="4"/>
    <x v="1"/>
    <n v="0.20675990675990677"/>
    <n v="4435"/>
    <n v="5904"/>
    <s v="During"/>
    <n v="0.75118563685636852"/>
  </r>
  <r>
    <x v="271"/>
    <x v="2"/>
    <d v="2025-03-27T00:00:00"/>
    <x v="1"/>
    <s v="Check out our latest text on instagram!"/>
    <n v="4941"/>
    <n v="414"/>
    <n v="266"/>
    <n v="39528"/>
    <n v="39154"/>
    <n v="217"/>
    <x v="2"/>
    <x v="2"/>
    <n v="0.14220299534507186"/>
    <n v="5621"/>
    <n v="5904"/>
    <s v="During"/>
    <n v="0.95206639566395668"/>
  </r>
  <r>
    <x v="272"/>
    <x v="1"/>
    <d v="2024-10-12T00:00:00"/>
    <x v="2"/>
    <s v="Check out our latest story on youtube!"/>
    <n v="3641"/>
    <n v="226"/>
    <n v="46"/>
    <n v="40051"/>
    <n v="39319"/>
    <n v="296"/>
    <x v="4"/>
    <x v="3"/>
    <n v="9.7700431949264685E-2"/>
    <n v="3913"/>
    <n v="30671"/>
    <s v="Before"/>
    <n v="0.12757979850673273"/>
  </r>
  <r>
    <x v="273"/>
    <x v="0"/>
    <d v="2025-01-01T00:00:00"/>
    <x v="3"/>
    <s v="Check out our latest carousel on twitter!"/>
    <n v="3535"/>
    <n v="494"/>
    <n v="152"/>
    <n v="53025"/>
    <n v="52791"/>
    <n v="44"/>
    <x v="2"/>
    <x v="3"/>
    <n v="7.8849599245638849E-2"/>
    <n v="4181"/>
    <n v="26752"/>
    <s v="Before"/>
    <n v="0.15628738038277512"/>
  </r>
  <r>
    <x v="274"/>
    <x v="3"/>
    <d v="2024-08-05T00:00:00"/>
    <x v="0"/>
    <s v="Check out our latest reel on facebook!"/>
    <n v="1741"/>
    <n v="831"/>
    <n v="345"/>
    <n v="17410"/>
    <n v="16844"/>
    <n v="58"/>
    <x v="4"/>
    <x v="2"/>
    <n v="0.16754738655944859"/>
    <n v="2917"/>
    <n v="9566"/>
    <s v="Before"/>
    <n v="0.30493414175203848"/>
  </r>
  <r>
    <x v="275"/>
    <x v="0"/>
    <d v="2024-06-07T00:00:00"/>
    <x v="3"/>
    <s v="Check out our latest carousel on twitter!"/>
    <n v="1556"/>
    <n v="195"/>
    <n v="131"/>
    <n v="9336"/>
    <n v="8875"/>
    <n v="137"/>
    <x v="2"/>
    <x v="1"/>
    <n v="0.2015852613538989"/>
    <n v="1882"/>
    <n v="26752"/>
    <s v="Before"/>
    <n v="7.0349880382775121E-2"/>
  </r>
  <r>
    <x v="276"/>
    <x v="3"/>
    <d v="2025-04-06T00:00:00"/>
    <x v="4"/>
    <s v="Check out our latest image on facebook!"/>
    <n v="4236"/>
    <n v="711"/>
    <n v="298"/>
    <n v="21180"/>
    <n v="20516"/>
    <n v="238"/>
    <x v="0"/>
    <x v="0"/>
    <n v="0.24763928234183191"/>
    <n v="5245"/>
    <n v="9566"/>
    <s v="During"/>
    <n v="0.54829604850512226"/>
  </r>
  <r>
    <x v="277"/>
    <x v="0"/>
    <d v="2024-11-26T00:00:00"/>
    <x v="1"/>
    <s v="Check out our latest text on twitter!"/>
    <n v="4516"/>
    <n v="836"/>
    <n v="169"/>
    <n v="49676"/>
    <n v="49257"/>
    <n v="282"/>
    <x v="4"/>
    <x v="3"/>
    <n v="0.11114018842096787"/>
    <n v="5521"/>
    <n v="26752"/>
    <s v="Before"/>
    <n v="0.20637709330143542"/>
  </r>
  <r>
    <x v="278"/>
    <x v="1"/>
    <d v="2024-09-02T00:00:00"/>
    <x v="4"/>
    <s v="Check out our latest image on youtube!"/>
    <n v="4905"/>
    <n v="845"/>
    <n v="129"/>
    <n v="98100"/>
    <n v="97772"/>
    <n v="279"/>
    <x v="2"/>
    <x v="1"/>
    <n v="5.9928644240570844E-2"/>
    <n v="5879"/>
    <n v="30671"/>
    <s v="Before"/>
    <n v="0.19167943660134981"/>
  </r>
  <r>
    <x v="279"/>
    <x v="1"/>
    <d v="2024-10-21T00:00:00"/>
    <x v="5"/>
    <s v="Check out our latest video on youtube!"/>
    <n v="4275"/>
    <n v="680"/>
    <n v="385"/>
    <n v="64125"/>
    <n v="63650"/>
    <n v="104"/>
    <x v="4"/>
    <x v="3"/>
    <n v="8.3274853801169585E-2"/>
    <n v="5340"/>
    <n v="30671"/>
    <s v="Before"/>
    <n v="0.17410583287144207"/>
  </r>
  <r>
    <x v="279"/>
    <x v="1"/>
    <d v="2024-10-21T00:00:00"/>
    <x v="5"/>
    <s v="Check out our latest video on youtube!"/>
    <n v="4275"/>
    <n v="680"/>
    <n v="385"/>
    <n v="64125"/>
    <n v="63650"/>
    <n v="104"/>
    <x v="2"/>
    <x v="3"/>
    <n v="8.3274853801169585E-2"/>
    <n v="5340"/>
    <n v="30671"/>
    <s v="Before"/>
    <n v="0.17410583287144207"/>
  </r>
  <r>
    <x v="279"/>
    <x v="1"/>
    <d v="2024-10-21T00:00:00"/>
    <x v="5"/>
    <s v="Check out our latest video on youtube!"/>
    <n v="4275"/>
    <n v="680"/>
    <n v="385"/>
    <n v="64125"/>
    <n v="63650"/>
    <n v="104"/>
    <x v="1"/>
    <x v="3"/>
    <n v="8.3274853801169585E-2"/>
    <n v="5340"/>
    <n v="30671"/>
    <s v="Before"/>
    <n v="0.17410583287144207"/>
  </r>
  <r>
    <x v="280"/>
    <x v="1"/>
    <d v="2025-03-22T00:00:00"/>
    <x v="4"/>
    <s v="Check out our latest image on youtube!"/>
    <n v="3166"/>
    <n v="90"/>
    <n v="341"/>
    <n v="56988"/>
    <n v="56125"/>
    <n v="135"/>
    <x v="4"/>
    <x v="1"/>
    <n v="6.3118551273952411E-2"/>
    <n v="3597"/>
    <n v="30671"/>
    <s v="During"/>
    <n v="0.11727690652407811"/>
  </r>
  <r>
    <x v="281"/>
    <x v="2"/>
    <d v="2024-10-03T00:00:00"/>
    <x v="5"/>
    <s v="Check out our latest video on instagram!"/>
    <n v="1488"/>
    <n v="417"/>
    <n v="168"/>
    <n v="19344"/>
    <n v="18395"/>
    <n v="30"/>
    <x v="0"/>
    <x v="2"/>
    <n v="0.1071650124069479"/>
    <n v="2073"/>
    <n v="5904"/>
    <s v="Before"/>
    <n v="0.3511178861788618"/>
  </r>
  <r>
    <x v="282"/>
    <x v="0"/>
    <d v="2025-05-09T00:00:00"/>
    <x v="0"/>
    <s v="Check out our latest reel on twitter!"/>
    <n v="3367"/>
    <n v="302"/>
    <n v="57"/>
    <n v="63973"/>
    <n v="63789"/>
    <n v="157"/>
    <x v="0"/>
    <x v="1"/>
    <n v="5.8243321401216137E-2"/>
    <n v="3726"/>
    <n v="26752"/>
    <s v="During"/>
    <n v="0.13927930622009568"/>
  </r>
  <r>
    <x v="283"/>
    <x v="0"/>
    <d v="2024-09-17T00:00:00"/>
    <x v="1"/>
    <s v="Check out our latest text on twitter!"/>
    <n v="571"/>
    <n v="190"/>
    <n v="352"/>
    <n v="9707"/>
    <n v="9418"/>
    <n v="231"/>
    <x v="2"/>
    <x v="3"/>
    <n v="0.11465952405480581"/>
    <n v="1113"/>
    <n v="26752"/>
    <s v="Before"/>
    <n v="4.1604366028708137E-2"/>
  </r>
  <r>
    <x v="284"/>
    <x v="1"/>
    <d v="2024-07-18T00:00:00"/>
    <x v="1"/>
    <s v="Check out our latest text on youtube!"/>
    <n v="4021"/>
    <n v="794"/>
    <n v="77"/>
    <n v="36189"/>
    <n v="35505"/>
    <n v="174"/>
    <x v="4"/>
    <x v="4"/>
    <n v="0.13517919809886983"/>
    <n v="4892"/>
    <n v="30671"/>
    <s v="Not Found"/>
    <n v="0.15949920119983046"/>
  </r>
  <r>
    <x v="285"/>
    <x v="1"/>
    <d v="2024-09-25T00:00:00"/>
    <x v="5"/>
    <s v="Check out our latest video on youtube!"/>
    <n v="3389"/>
    <n v="344"/>
    <n v="229"/>
    <n v="20334"/>
    <n v="19443"/>
    <n v="228"/>
    <x v="0"/>
    <x v="2"/>
    <n v="0.19484607062063539"/>
    <n v="3962"/>
    <n v="30671"/>
    <s v="Before"/>
    <n v="0.12917739884581528"/>
  </r>
  <r>
    <x v="286"/>
    <x v="2"/>
    <d v="2024-08-15T00:00:00"/>
    <x v="0"/>
    <s v="Check out our latest reel on instagram!"/>
    <n v="1164"/>
    <n v="616"/>
    <n v="324"/>
    <n v="6984"/>
    <n v="6636"/>
    <n v="82"/>
    <x v="4"/>
    <x v="0"/>
    <n v="0.30126002290950743"/>
    <n v="2104"/>
    <n v="5904"/>
    <s v="During"/>
    <n v="0.35636856368563685"/>
  </r>
  <r>
    <x v="287"/>
    <x v="1"/>
    <d v="2025-04-17T00:00:00"/>
    <x v="3"/>
    <s v="Check out our latest carousel on youtube!"/>
    <n v="4780"/>
    <n v="691"/>
    <n v="380"/>
    <n v="86040"/>
    <n v="85743"/>
    <n v="262"/>
    <x v="0"/>
    <x v="2"/>
    <n v="6.800325430032543E-2"/>
    <n v="5851"/>
    <n v="30671"/>
    <s v="During"/>
    <n v="0.19076652212187409"/>
  </r>
  <r>
    <x v="288"/>
    <x v="3"/>
    <d v="2024-11-28T00:00:00"/>
    <x v="3"/>
    <s v="Check out our latest carousel on facebook!"/>
    <n v="2751"/>
    <n v="33"/>
    <n v="430"/>
    <n v="44016"/>
    <n v="43415"/>
    <n v="129"/>
    <x v="0"/>
    <x v="4"/>
    <n v="7.3018902217375503E-2"/>
    <n v="3214"/>
    <n v="9566"/>
    <s v="Not Found"/>
    <n v="0.33598160150533141"/>
  </r>
  <r>
    <x v="289"/>
    <x v="2"/>
    <d v="2024-12-20T00:00:00"/>
    <x v="3"/>
    <s v="Check out our latest carousel on instagram!"/>
    <n v="2107"/>
    <n v="550"/>
    <n v="349"/>
    <n v="35819"/>
    <n v="35340"/>
    <n v="191"/>
    <x v="4"/>
    <x v="3"/>
    <n v="8.3921940869371006E-2"/>
    <n v="3006"/>
    <n v="5904"/>
    <s v="Before"/>
    <n v="0.50914634146341464"/>
  </r>
  <r>
    <x v="290"/>
    <x v="3"/>
    <d v="2024-11-06T00:00:00"/>
    <x v="5"/>
    <s v="Check out our latest video on facebook!"/>
    <n v="4663"/>
    <n v="145"/>
    <n v="225"/>
    <n v="69945"/>
    <n v="69596"/>
    <n v="35"/>
    <x v="4"/>
    <x v="3"/>
    <n v="7.1956537279290869E-2"/>
    <n v="5033"/>
    <n v="9566"/>
    <s v="Before"/>
    <n v="0.52613422538155974"/>
  </r>
  <r>
    <x v="291"/>
    <x v="3"/>
    <d v="2024-11-17T00:00:00"/>
    <x v="1"/>
    <s v="Check out our latest text on facebook!"/>
    <n v="880"/>
    <n v="297"/>
    <n v="345"/>
    <n v="12320"/>
    <n v="11978"/>
    <n v="238"/>
    <x v="2"/>
    <x v="4"/>
    <n v="0.12353896103896105"/>
    <n v="1522"/>
    <n v="9566"/>
    <s v="Not Found"/>
    <n v="0.15910516412293541"/>
  </r>
  <r>
    <x v="291"/>
    <x v="3"/>
    <d v="2024-11-17T00:00:00"/>
    <x v="1"/>
    <s v="Check out our latest text on facebook!"/>
    <n v="880"/>
    <n v="297"/>
    <n v="345"/>
    <n v="12320"/>
    <n v="11978"/>
    <n v="238"/>
    <x v="1"/>
    <x v="4"/>
    <n v="0.12353896103896105"/>
    <n v="1522"/>
    <n v="9566"/>
    <s v="Not Found"/>
    <n v="0.15910516412293541"/>
  </r>
  <r>
    <x v="292"/>
    <x v="3"/>
    <d v="2025-05-14T00:00:00"/>
    <x v="1"/>
    <s v="Check out our latest text on facebook!"/>
    <n v="2634"/>
    <n v="726"/>
    <n v="241"/>
    <n v="28974"/>
    <n v="28102"/>
    <n v="277"/>
    <x v="4"/>
    <x v="0"/>
    <n v="0.12428384068475185"/>
    <n v="3601"/>
    <n v="9566"/>
    <s v="During"/>
    <n v="0.37643738239598579"/>
  </r>
  <r>
    <x v="293"/>
    <x v="3"/>
    <d v="2024-06-19T00:00:00"/>
    <x v="3"/>
    <s v="Check out our latest carousel on facebook!"/>
    <n v="4731"/>
    <n v="173"/>
    <n v="276"/>
    <n v="28386"/>
    <n v="28185"/>
    <n v="89"/>
    <x v="4"/>
    <x v="2"/>
    <n v="0.18248432325794406"/>
    <n v="5180"/>
    <n v="9566"/>
    <s v="Before"/>
    <n v="0.5415011499059168"/>
  </r>
  <r>
    <x v="294"/>
    <x v="0"/>
    <d v="2025-05-06T00:00:00"/>
    <x v="4"/>
    <s v="Check out our latest image on twitter!"/>
    <n v="1952"/>
    <n v="344"/>
    <n v="287"/>
    <n v="15616"/>
    <n v="15403"/>
    <n v="235"/>
    <x v="0"/>
    <x v="1"/>
    <n v="0.16540727459016394"/>
    <n v="2583"/>
    <n v="26752"/>
    <s v="During"/>
    <n v="9.6553528708133968E-2"/>
  </r>
  <r>
    <x v="294"/>
    <x v="0"/>
    <d v="2025-05-06T00:00:00"/>
    <x v="4"/>
    <s v="Check out our latest image on twitter!"/>
    <n v="1952"/>
    <n v="344"/>
    <n v="287"/>
    <n v="15616"/>
    <n v="15403"/>
    <n v="235"/>
    <x v="2"/>
    <x v="1"/>
    <n v="0.16540727459016394"/>
    <n v="2583"/>
    <n v="26752"/>
    <s v="During"/>
    <n v="9.6553528708133968E-2"/>
  </r>
  <r>
    <x v="294"/>
    <x v="0"/>
    <d v="2025-05-06T00:00:00"/>
    <x v="4"/>
    <s v="Check out our latest image on twitter!"/>
    <n v="1952"/>
    <n v="344"/>
    <n v="287"/>
    <n v="15616"/>
    <n v="15403"/>
    <n v="235"/>
    <x v="1"/>
    <x v="1"/>
    <n v="0.16540727459016394"/>
    <n v="2583"/>
    <n v="26752"/>
    <s v="During"/>
    <n v="9.6553528708133968E-2"/>
  </r>
  <r>
    <x v="295"/>
    <x v="0"/>
    <d v="2025-02-11T00:00:00"/>
    <x v="5"/>
    <s v="Check out our latest video on twitter!"/>
    <n v="3440"/>
    <n v="13"/>
    <n v="20"/>
    <n v="58480"/>
    <n v="58146"/>
    <n v="210"/>
    <x v="2"/>
    <x v="3"/>
    <n v="5.9387824897400819E-2"/>
    <n v="3473"/>
    <n v="26752"/>
    <s v="Before"/>
    <n v="0.12982206937799043"/>
  </r>
  <r>
    <x v="295"/>
    <x v="0"/>
    <d v="2025-02-11T00:00:00"/>
    <x v="5"/>
    <s v="Check out our latest video on twitter!"/>
    <n v="3440"/>
    <n v="13"/>
    <n v="20"/>
    <n v="58480"/>
    <n v="58146"/>
    <n v="210"/>
    <x v="5"/>
    <x v="3"/>
    <n v="5.9387824897400819E-2"/>
    <n v="3473"/>
    <n v="26752"/>
    <s v="Before"/>
    <n v="0.12982206937799043"/>
  </r>
  <r>
    <x v="296"/>
    <x v="0"/>
    <d v="2024-12-24T00:00:00"/>
    <x v="1"/>
    <s v="Check out our latest text on twitter!"/>
    <n v="2166"/>
    <n v="354"/>
    <n v="117"/>
    <n v="10830"/>
    <n v="10245"/>
    <n v="24"/>
    <x v="4"/>
    <x v="3"/>
    <n v="0.24349030470914126"/>
    <n v="2637"/>
    <n v="26752"/>
    <s v="Before"/>
    <n v="9.8572069377990429E-2"/>
  </r>
  <r>
    <x v="297"/>
    <x v="3"/>
    <d v="2024-10-24T00:00:00"/>
    <x v="4"/>
    <s v="Check out our latest image on facebook!"/>
    <n v="4303"/>
    <n v="451"/>
    <n v="286"/>
    <n v="86060"/>
    <n v="85823"/>
    <n v="14"/>
    <x v="2"/>
    <x v="2"/>
    <n v="5.8563792702765516E-2"/>
    <n v="5040"/>
    <n v="9566"/>
    <s v="Before"/>
    <n v="0.52686598369224336"/>
  </r>
  <r>
    <x v="298"/>
    <x v="3"/>
    <d v="2024-08-26T00:00:00"/>
    <x v="4"/>
    <s v="Check out our latest image on facebook!"/>
    <n v="2581"/>
    <n v="517"/>
    <n v="117"/>
    <n v="23229"/>
    <n v="22331"/>
    <n v="70"/>
    <x v="0"/>
    <x v="2"/>
    <n v="0.13840458048129492"/>
    <n v="3215"/>
    <n v="9566"/>
    <s v="Before"/>
    <n v="0.33608613840685764"/>
  </r>
  <r>
    <x v="299"/>
    <x v="0"/>
    <d v="2024-08-31T00:00:00"/>
    <x v="3"/>
    <s v="Check out our latest carousel on twitter!"/>
    <n v="4494"/>
    <n v="717"/>
    <n v="45"/>
    <n v="62916"/>
    <n v="62688"/>
    <n v="191"/>
    <x v="2"/>
    <x v="0"/>
    <n v="8.3539958039290485E-2"/>
    <n v="5256"/>
    <n v="26752"/>
    <s v="During"/>
    <n v="0.19647129186602871"/>
  </r>
  <r>
    <x v="299"/>
    <x v="0"/>
    <d v="2024-08-31T00:00:00"/>
    <x v="3"/>
    <s v="Check out our latest carousel on twitter!"/>
    <n v="4494"/>
    <n v="717"/>
    <n v="45"/>
    <n v="62916"/>
    <n v="62688"/>
    <n v="191"/>
    <x v="4"/>
    <x v="0"/>
    <n v="8.3539958039290485E-2"/>
    <n v="5256"/>
    <n v="26752"/>
    <s v="During"/>
    <n v="0.19647129186602871"/>
  </r>
  <r>
    <x v="299"/>
    <x v="0"/>
    <d v="2024-08-31T00:00:00"/>
    <x v="3"/>
    <s v="Check out our latest carousel on twitter!"/>
    <n v="4494"/>
    <n v="717"/>
    <n v="45"/>
    <n v="62916"/>
    <n v="62688"/>
    <n v="191"/>
    <x v="3"/>
    <x v="0"/>
    <n v="8.3539958039290485E-2"/>
    <n v="5256"/>
    <n v="26752"/>
    <s v="During"/>
    <n v="0.1964712918660287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s v="Instagram"/>
    <n v="1135"/>
    <n v="88"/>
    <n v="344084"/>
    <n v="8.06"/>
    <n v="5904"/>
    <n v="1047"/>
    <n v="3.0428616268120576E-3"/>
    <x v="0"/>
  </r>
  <r>
    <x v="0"/>
    <x v="1"/>
    <s v="Facebook"/>
    <n v="1312"/>
    <n v="310"/>
    <n v="42654"/>
    <n v="4.9800000000000004"/>
    <n v="9566"/>
    <n v="1002"/>
    <n v="2.3491348994232664E-2"/>
    <x v="0"/>
  </r>
  <r>
    <x v="0"/>
    <x v="2"/>
    <s v="Twitter"/>
    <n v="584"/>
    <n v="169"/>
    <n v="146834"/>
    <n v="8.31"/>
    <n v="26752"/>
    <n v="415"/>
    <n v="2.826320879360366E-3"/>
    <x v="0"/>
  </r>
  <r>
    <x v="0"/>
    <x v="3"/>
    <s v="YouTube"/>
    <n v="1535"/>
    <n v="445"/>
    <n v="395536"/>
    <n v="4.1100000000000003"/>
    <n v="30671"/>
    <n v="1090"/>
    <n v="2.7557542170624167E-3"/>
    <x v="0"/>
  </r>
  <r>
    <x v="1"/>
    <x v="0"/>
    <s v="Instagram"/>
    <n v="656"/>
    <n v="139"/>
    <n v="49157"/>
    <n v="9.0500000000000007"/>
    <n v="9920"/>
    <n v="517"/>
    <n v="1.0517322049758936E-2"/>
    <x v="0"/>
  </r>
  <r>
    <x v="1"/>
    <x v="1"/>
    <s v="Facebook"/>
    <n v="1697"/>
    <n v="414"/>
    <n v="316555"/>
    <n v="2.37"/>
    <n v="7924"/>
    <n v="1283"/>
    <n v="4.0530081660374974E-3"/>
    <x v="0"/>
  </r>
  <r>
    <x v="1"/>
    <x v="2"/>
    <s v="Twitter"/>
    <n v="436"/>
    <n v="250"/>
    <n v="254347"/>
    <n v="4.01"/>
    <n v="8912"/>
    <n v="186"/>
    <n v="7.3128442639386348E-4"/>
    <x v="0"/>
  </r>
  <r>
    <x v="1"/>
    <x v="3"/>
    <s v="YouTube"/>
    <n v="1197"/>
    <n v="203"/>
    <n v="413878"/>
    <n v="3.16"/>
    <n v="21205"/>
    <n v="994"/>
    <n v="2.4016739232334168E-3"/>
    <x v="0"/>
  </r>
  <r>
    <x v="2"/>
    <x v="0"/>
    <s v="Instagram"/>
    <n v="1048"/>
    <n v="155"/>
    <n v="456946"/>
    <n v="2.46"/>
    <n v="11329"/>
    <n v="893"/>
    <n v="1.9542790614208243E-3"/>
    <x v="0"/>
  </r>
  <r>
    <x v="2"/>
    <x v="1"/>
    <s v="Facebook"/>
    <n v="1753"/>
    <n v="371"/>
    <n v="169496"/>
    <n v="8.11"/>
    <n v="46670"/>
    <n v="1382"/>
    <n v="8.1535847453627231E-3"/>
    <x v="0"/>
  </r>
  <r>
    <x v="2"/>
    <x v="2"/>
    <s v="Twitter"/>
    <n v="1335"/>
    <n v="40"/>
    <n v="122732"/>
    <n v="8.19"/>
    <n v="22482"/>
    <n v="1295"/>
    <n v="1.0551445425805821E-2"/>
    <x v="0"/>
  </r>
  <r>
    <x v="2"/>
    <x v="3"/>
    <s v="YouTube"/>
    <n v="403"/>
    <n v="66"/>
    <n v="382851"/>
    <n v="3.49"/>
    <n v="24313"/>
    <n v="337"/>
    <n v="8.80238003818718E-4"/>
    <x v="0"/>
  </r>
  <r>
    <x v="3"/>
    <x v="0"/>
    <s v="Instagram"/>
    <n v="911"/>
    <n v="282"/>
    <n v="35664"/>
    <n v="6.92"/>
    <n v="18050"/>
    <n v="629"/>
    <n v="1.7636832660385824E-2"/>
    <x v="1"/>
  </r>
  <r>
    <x v="3"/>
    <x v="1"/>
    <s v="Facebook"/>
    <n v="1779"/>
    <n v="109"/>
    <n v="26295"/>
    <n v="9.1199999999999992"/>
    <n v="30635"/>
    <n v="1670"/>
    <n v="6.3510173036698994E-2"/>
    <x v="1"/>
  </r>
  <r>
    <x v="3"/>
    <x v="2"/>
    <s v="Twitter"/>
    <n v="1238"/>
    <n v="403"/>
    <n v="298421"/>
    <n v="3.5"/>
    <n v="31280"/>
    <n v="835"/>
    <n v="2.798060458211721E-3"/>
    <x v="1"/>
  </r>
  <r>
    <x v="3"/>
    <x v="3"/>
    <s v="YouTube"/>
    <n v="308"/>
    <n v="431"/>
    <n v="426184"/>
    <n v="2.62"/>
    <n v="1783"/>
    <n v="-123"/>
    <n v="-2.8860773750305035E-4"/>
    <x v="1"/>
  </r>
  <r>
    <x v="4"/>
    <x v="0"/>
    <s v="Instagram"/>
    <n v="226"/>
    <n v="445"/>
    <n v="419447"/>
    <n v="9.36"/>
    <n v="9566"/>
    <n v="-219"/>
    <n v="-5.2211602419375983E-4"/>
    <x v="2"/>
  </r>
  <r>
    <x v="4"/>
    <x v="1"/>
    <s v="Facebook"/>
    <n v="505"/>
    <n v="441"/>
    <n v="220020"/>
    <n v="4.4800000000000004"/>
    <n v="42307"/>
    <n v="64"/>
    <n v="2.9088264703208797E-4"/>
    <x v="2"/>
  </r>
  <r>
    <x v="4"/>
    <x v="2"/>
    <s v="Twitter"/>
    <n v="1420"/>
    <n v="63"/>
    <n v="315305"/>
    <n v="6.19"/>
    <n v="5914"/>
    <n v="1357"/>
    <n v="4.3037693661692649E-3"/>
    <x v="2"/>
  </r>
  <r>
    <x v="4"/>
    <x v="3"/>
    <s v="YouTube"/>
    <n v="144"/>
    <n v="53"/>
    <n v="113678"/>
    <n v="8.7200000000000006"/>
    <n v="30060"/>
    <n v="91"/>
    <n v="8.0050669434719116E-4"/>
    <x v="2"/>
  </r>
  <r>
    <x v="5"/>
    <x v="0"/>
    <s v="Instagram"/>
    <n v="1757"/>
    <n v="85"/>
    <n v="58223"/>
    <n v="8.74"/>
    <n v="22728"/>
    <n v="1672"/>
    <n v="2.8717173625543171E-2"/>
    <x v="0"/>
  </r>
  <r>
    <x v="5"/>
    <x v="1"/>
    <s v="Facebook"/>
    <n v="350"/>
    <n v="41"/>
    <n v="251694"/>
    <n v="1.91"/>
    <n v="38610"/>
    <n v="309"/>
    <n v="1.2276812319721568E-3"/>
    <x v="0"/>
  </r>
  <r>
    <x v="5"/>
    <x v="2"/>
    <s v="Twitter"/>
    <n v="987"/>
    <n v="440"/>
    <n v="389810"/>
    <n v="4.66"/>
    <n v="2932"/>
    <n v="547"/>
    <n v="1.40324773607655E-3"/>
    <x v="0"/>
  </r>
  <r>
    <x v="5"/>
    <x v="3"/>
    <s v="YouTube"/>
    <n v="883"/>
    <n v="369"/>
    <n v="233694"/>
    <n v="2.88"/>
    <n v="15071"/>
    <n v="514"/>
    <n v="2.1994574101175039E-3"/>
    <x v="0"/>
  </r>
  <r>
    <x v="6"/>
    <x v="0"/>
    <s v="Instagram"/>
    <n v="1960"/>
    <n v="115"/>
    <n v="154169"/>
    <n v="3.74"/>
    <n v="10740"/>
    <n v="1845"/>
    <n v="1.1967386439556591E-2"/>
    <x v="1"/>
  </r>
  <r>
    <x v="6"/>
    <x v="1"/>
    <s v="Facebook"/>
    <n v="170"/>
    <n v="334"/>
    <n v="334626"/>
    <n v="6.44"/>
    <n v="43420"/>
    <n v="-164"/>
    <n v="-4.9009939454794306E-4"/>
    <x v="1"/>
  </r>
  <r>
    <x v="6"/>
    <x v="2"/>
    <s v="Twitter"/>
    <n v="704"/>
    <n v="275"/>
    <n v="226002"/>
    <n v="8.56"/>
    <n v="32393"/>
    <n v="429"/>
    <n v="1.8982132901478749E-3"/>
    <x v="1"/>
  </r>
  <r>
    <x v="6"/>
    <x v="3"/>
    <s v="YouTube"/>
    <n v="224"/>
    <n v="64"/>
    <n v="156683"/>
    <n v="4.5599999999999996"/>
    <n v="28474"/>
    <n v="160"/>
    <n v="1.0211701333265254E-3"/>
    <x v="1"/>
  </r>
  <r>
    <x v="7"/>
    <x v="0"/>
    <s v="Instagram"/>
    <n v="508"/>
    <n v="349"/>
    <n v="473812"/>
    <n v="7.88"/>
    <n v="17328"/>
    <n v="159"/>
    <n v="3.3557613568250698E-4"/>
    <x v="3"/>
  </r>
  <r>
    <x v="7"/>
    <x v="1"/>
    <s v="Facebook"/>
    <n v="1391"/>
    <n v="430"/>
    <n v="295032"/>
    <n v="7.86"/>
    <n v="26067"/>
    <n v="961"/>
    <n v="3.2572737872501967E-3"/>
    <x v="3"/>
  </r>
  <r>
    <x v="7"/>
    <x v="2"/>
    <s v="Twitter"/>
    <n v="1701"/>
    <n v="385"/>
    <n v="198278"/>
    <n v="5.34"/>
    <n v="32763"/>
    <n v="1316"/>
    <n v="6.6371458255580548E-3"/>
    <x v="3"/>
  </r>
  <r>
    <x v="7"/>
    <x v="3"/>
    <s v="YouTube"/>
    <n v="804"/>
    <n v="487"/>
    <n v="306564"/>
    <n v="5.52"/>
    <n v="26452"/>
    <n v="317"/>
    <n v="1.0340418313957282E-3"/>
    <x v="3"/>
  </r>
  <r>
    <x v="8"/>
    <x v="0"/>
    <s v="Instagram"/>
    <n v="653"/>
    <n v="112"/>
    <n v="23664"/>
    <n v="4.05"/>
    <n v="15353"/>
    <n v="541"/>
    <n v="2.2861730899256253E-2"/>
    <x v="1"/>
  </r>
  <r>
    <x v="8"/>
    <x v="1"/>
    <s v="Facebook"/>
    <n v="160"/>
    <n v="478"/>
    <n v="435034"/>
    <n v="7.73"/>
    <n v="4839"/>
    <n v="-318"/>
    <n v="-7.3097734889686784E-4"/>
    <x v="1"/>
  </r>
  <r>
    <x v="8"/>
    <x v="2"/>
    <s v="Twitter"/>
    <n v="1756"/>
    <n v="261"/>
    <n v="287574"/>
    <n v="4.3600000000000003"/>
    <n v="39272"/>
    <n v="1495"/>
    <n v="5.1986619096302169E-3"/>
    <x v="1"/>
  </r>
  <r>
    <x v="8"/>
    <x v="3"/>
    <s v="YouTube"/>
    <n v="576"/>
    <n v="101"/>
    <n v="62499"/>
    <n v="3.48"/>
    <n v="16804"/>
    <n v="475"/>
    <n v="7.600121601945631E-3"/>
    <x v="1"/>
  </r>
  <r>
    <x v="9"/>
    <x v="0"/>
    <s v="Instagram"/>
    <n v="645"/>
    <n v="293"/>
    <n v="437968"/>
    <n v="7.83"/>
    <n v="49303"/>
    <n v="352"/>
    <n v="8.0371168669857163E-4"/>
    <x v="1"/>
  </r>
  <r>
    <x v="9"/>
    <x v="1"/>
    <s v="Facebook"/>
    <n v="214"/>
    <n v="411"/>
    <n v="125034"/>
    <n v="6.11"/>
    <n v="26455"/>
    <n v="-197"/>
    <n v="-1.5755714445670778E-3"/>
    <x v="1"/>
  </r>
  <r>
    <x v="9"/>
    <x v="2"/>
    <s v="Twitter"/>
    <n v="826"/>
    <n v="498"/>
    <n v="449994"/>
    <n v="9.43"/>
    <n v="12384"/>
    <n v="328"/>
    <n v="7.2889860753698943E-4"/>
    <x v="1"/>
  </r>
  <r>
    <x v="9"/>
    <x v="3"/>
    <s v="YouTube"/>
    <n v="460"/>
    <n v="141"/>
    <n v="320650"/>
    <n v="4.04"/>
    <n v="49372"/>
    <n v="319"/>
    <n v="9.9485420240137223E-4"/>
    <x v="1"/>
  </r>
  <r>
    <x v="10"/>
    <x v="0"/>
    <s v="Instagram"/>
    <n v="1528"/>
    <n v="203"/>
    <n v="489188"/>
    <n v="6.23"/>
    <n v="47101"/>
    <n v="1325"/>
    <n v="2.7085701202809553E-3"/>
    <x v="0"/>
  </r>
  <r>
    <x v="10"/>
    <x v="1"/>
    <s v="Facebook"/>
    <n v="1534"/>
    <n v="200"/>
    <n v="307612"/>
    <n v="6.01"/>
    <n v="37903"/>
    <n v="1334"/>
    <n v="4.3366318609156986E-3"/>
    <x v="0"/>
  </r>
  <r>
    <x v="10"/>
    <x v="2"/>
    <s v="Twitter"/>
    <n v="485"/>
    <n v="448"/>
    <n v="434883"/>
    <n v="8.5500000000000007"/>
    <n v="33258"/>
    <n v="37"/>
    <n v="8.5080354946042954E-5"/>
    <x v="0"/>
  </r>
  <r>
    <x v="10"/>
    <x v="3"/>
    <s v="YouTube"/>
    <n v="1210"/>
    <n v="178"/>
    <n v="102042"/>
    <n v="5.42"/>
    <n v="6915"/>
    <n v="1032"/>
    <n v="1.011348268360087E-2"/>
    <x v="0"/>
  </r>
  <r>
    <x v="11"/>
    <x v="0"/>
    <s v="Instagram"/>
    <n v="215"/>
    <n v="139"/>
    <n v="325444"/>
    <n v="3.25"/>
    <n v="35501"/>
    <n v="76"/>
    <n v="2.335271198731579E-4"/>
    <x v="2"/>
  </r>
  <r>
    <x v="11"/>
    <x v="1"/>
    <s v="Facebook"/>
    <n v="1078"/>
    <n v="20"/>
    <n v="183924"/>
    <n v="8.84"/>
    <n v="14203"/>
    <n v="1058"/>
    <n v="5.7523759813836147E-3"/>
    <x v="2"/>
  </r>
  <r>
    <x v="11"/>
    <x v="2"/>
    <s v="Twitter"/>
    <n v="1751"/>
    <n v="86"/>
    <n v="188655"/>
    <n v="7.24"/>
    <n v="22206"/>
    <n v="1665"/>
    <n v="8.825634093981077E-3"/>
    <x v="2"/>
  </r>
  <r>
    <x v="11"/>
    <x v="3"/>
    <s v="YouTube"/>
    <n v="221"/>
    <n v="31"/>
    <n v="87443"/>
    <n v="6.19"/>
    <n v="10283"/>
    <n v="190"/>
    <n v="2.1728440241071327E-3"/>
    <x v="2"/>
  </r>
  <r>
    <x v="12"/>
    <x v="0"/>
    <s v="Instagram"/>
    <n v="1685"/>
    <n v="76"/>
    <n v="453799"/>
    <n v="5.71"/>
    <n v="24913"/>
    <n v="1609"/>
    <n v="3.5456226214689766E-3"/>
    <x v="3"/>
  </r>
  <r>
    <x v="12"/>
    <x v="1"/>
    <s v="Facebook"/>
    <n v="248"/>
    <n v="211"/>
    <n v="379380"/>
    <n v="9.0399999999999991"/>
    <n v="26925"/>
    <n v="37"/>
    <n v="9.7527544941747058E-5"/>
    <x v="3"/>
  </r>
  <r>
    <x v="12"/>
    <x v="2"/>
    <s v="Twitter"/>
    <n v="1300"/>
    <n v="71"/>
    <n v="186454"/>
    <n v="3.91"/>
    <n v="9942"/>
    <n v="1229"/>
    <n v="6.5914381026955706E-3"/>
    <x v="3"/>
  </r>
  <r>
    <x v="12"/>
    <x v="3"/>
    <s v="YouTube"/>
    <n v="422"/>
    <n v="394"/>
    <n v="239044"/>
    <n v="7.83"/>
    <n v="32929"/>
    <n v="28"/>
    <n v="1.1713324743561855E-4"/>
    <x v="3"/>
  </r>
  <r>
    <x v="13"/>
    <x v="0"/>
    <s v="Instagram"/>
    <n v="1429"/>
    <n v="182"/>
    <n v="101332"/>
    <n v="7.16"/>
    <n v="37829"/>
    <n v="1247"/>
    <n v="1.2306082974775983E-2"/>
    <x v="1"/>
  </r>
  <r>
    <x v="13"/>
    <x v="1"/>
    <s v="Facebook"/>
    <n v="1520"/>
    <n v="475"/>
    <n v="496982"/>
    <n v="6.41"/>
    <n v="24384"/>
    <n v="1045"/>
    <n v="2.1026918479944948E-3"/>
    <x v="1"/>
  </r>
  <r>
    <x v="13"/>
    <x v="2"/>
    <s v="Twitter"/>
    <n v="557"/>
    <n v="360"/>
    <n v="318779"/>
    <n v="8.02"/>
    <n v="25797"/>
    <n v="197"/>
    <n v="6.1798299135137512E-4"/>
    <x v="1"/>
  </r>
  <r>
    <x v="13"/>
    <x v="3"/>
    <s v="YouTube"/>
    <n v="728"/>
    <n v="395"/>
    <n v="370971"/>
    <n v="3.86"/>
    <n v="12646"/>
    <n v="333"/>
    <n v="8.9764429025449434E-4"/>
    <x v="1"/>
  </r>
  <r>
    <x v="14"/>
    <x v="0"/>
    <s v="Instagram"/>
    <n v="1592"/>
    <n v="20"/>
    <n v="378054"/>
    <n v="9.09"/>
    <n v="26663"/>
    <n v="1572"/>
    <n v="4.1581361392816901E-3"/>
    <x v="2"/>
  </r>
  <r>
    <x v="14"/>
    <x v="1"/>
    <s v="Facebook"/>
    <n v="1842"/>
    <n v="414"/>
    <n v="307524"/>
    <n v="1.76"/>
    <n v="40478"/>
    <n v="1428"/>
    <n v="4.6435400163889647E-3"/>
    <x v="2"/>
  </r>
  <r>
    <x v="14"/>
    <x v="2"/>
    <s v="Twitter"/>
    <n v="751"/>
    <n v="491"/>
    <n v="434047"/>
    <n v="9.24"/>
    <n v="15476"/>
    <n v="260"/>
    <n v="5.990134708914012E-4"/>
    <x v="2"/>
  </r>
  <r>
    <x v="14"/>
    <x v="3"/>
    <s v="YouTube"/>
    <n v="1409"/>
    <n v="309"/>
    <n v="64583"/>
    <n v="8.99"/>
    <n v="10217"/>
    <n v="1100"/>
    <n v="1.7032345973398571E-2"/>
    <x v="2"/>
  </r>
  <r>
    <x v="15"/>
    <x v="0"/>
    <s v="Instagram"/>
    <n v="778"/>
    <n v="401"/>
    <n v="50793"/>
    <n v="3.4"/>
    <n v="21939"/>
    <n v="377"/>
    <n v="7.4222825979957871E-3"/>
    <x v="3"/>
  </r>
  <r>
    <x v="15"/>
    <x v="1"/>
    <s v="Facebook"/>
    <n v="443"/>
    <n v="345"/>
    <n v="474162"/>
    <n v="9.1999999999999993"/>
    <n v="47462"/>
    <n v="98"/>
    <n v="2.0668041724136477E-4"/>
    <x v="3"/>
  </r>
  <r>
    <x v="15"/>
    <x v="2"/>
    <s v="Twitter"/>
    <n v="1472"/>
    <n v="347"/>
    <n v="392355"/>
    <n v="8.59"/>
    <n v="30270"/>
    <n v="1125"/>
    <n v="2.8673012960201858E-3"/>
    <x v="3"/>
  </r>
  <r>
    <x v="15"/>
    <x v="3"/>
    <s v="YouTube"/>
    <n v="123"/>
    <n v="155"/>
    <n v="119934"/>
    <n v="3.5"/>
    <n v="5442"/>
    <n v="-32"/>
    <n v="-2.6681341404439108E-4"/>
    <x v="3"/>
  </r>
  <r>
    <x v="16"/>
    <x v="0"/>
    <s v="Instagram"/>
    <n v="817"/>
    <n v="151"/>
    <n v="422625"/>
    <n v="2.36"/>
    <n v="1083"/>
    <n v="666"/>
    <n v="1.5758651286601596E-3"/>
    <x v="1"/>
  </r>
  <r>
    <x v="16"/>
    <x v="1"/>
    <s v="Facebook"/>
    <n v="198"/>
    <n v="217"/>
    <n v="239753"/>
    <n v="7.36"/>
    <n v="11901"/>
    <n v="-19"/>
    <n v="-7.9248226299566635E-5"/>
    <x v="1"/>
  </r>
  <r>
    <x v="16"/>
    <x v="2"/>
    <s v="Twitter"/>
    <n v="1911"/>
    <n v="231"/>
    <n v="268516"/>
    <n v="8.5500000000000007"/>
    <n v="24018"/>
    <n v="1680"/>
    <n v="6.2566104068286429E-3"/>
    <x v="1"/>
  </r>
  <r>
    <x v="16"/>
    <x v="3"/>
    <s v="YouTube"/>
    <n v="1218"/>
    <n v="212"/>
    <n v="63177"/>
    <n v="8.1300000000000008"/>
    <n v="38883"/>
    <n v="1006"/>
    <n v="1.592351646960128E-2"/>
    <x v="1"/>
  </r>
  <r>
    <x v="17"/>
    <x v="0"/>
    <s v="Instagram"/>
    <n v="1433"/>
    <n v="408"/>
    <n v="370269"/>
    <n v="3.3"/>
    <n v="30575"/>
    <n v="1025"/>
    <n v="2.7682576721248606E-3"/>
    <x v="0"/>
  </r>
  <r>
    <x v="17"/>
    <x v="1"/>
    <s v="Facebook"/>
    <n v="250"/>
    <n v="429"/>
    <n v="453423"/>
    <n v="1.77"/>
    <n v="2315"/>
    <n v="-179"/>
    <n v="-3.9477485703195471E-4"/>
    <x v="0"/>
  </r>
  <r>
    <x v="17"/>
    <x v="2"/>
    <s v="Twitter"/>
    <n v="752"/>
    <n v="153"/>
    <n v="64906"/>
    <n v="2.09"/>
    <n v="12148"/>
    <n v="599"/>
    <n v="9.2287307798970819E-3"/>
    <x v="0"/>
  </r>
  <r>
    <x v="17"/>
    <x v="3"/>
    <s v="YouTube"/>
    <n v="1918"/>
    <n v="212"/>
    <n v="94360"/>
    <n v="7.36"/>
    <n v="36851"/>
    <n v="1706"/>
    <n v="1.8079694785926241E-2"/>
    <x v="0"/>
  </r>
  <r>
    <x v="18"/>
    <x v="0"/>
    <s v="Instagram"/>
    <n v="1939"/>
    <n v="67"/>
    <n v="187183"/>
    <n v="6.25"/>
    <n v="41215"/>
    <n v="1872"/>
    <n v="1.0000908202133741E-2"/>
    <x v="3"/>
  </r>
  <r>
    <x v="18"/>
    <x v="1"/>
    <s v="Facebook"/>
    <n v="1929"/>
    <n v="267"/>
    <n v="379363"/>
    <n v="1.75"/>
    <n v="43836"/>
    <n v="1662"/>
    <n v="4.3810281972675247E-3"/>
    <x v="3"/>
  </r>
  <r>
    <x v="18"/>
    <x v="2"/>
    <s v="Twitter"/>
    <n v="437"/>
    <n v="330"/>
    <n v="476486"/>
    <n v="4.97"/>
    <n v="4509"/>
    <n v="107"/>
    <n v="2.2456063766826309E-4"/>
    <x v="3"/>
  </r>
  <r>
    <x v="18"/>
    <x v="3"/>
    <s v="YouTube"/>
    <n v="307"/>
    <n v="189"/>
    <n v="117767"/>
    <n v="9.3000000000000007"/>
    <n v="27822"/>
    <n v="118"/>
    <n v="1.0019784829366461E-3"/>
    <x v="3"/>
  </r>
  <r>
    <x v="19"/>
    <x v="0"/>
    <s v="Instagram"/>
    <n v="1527"/>
    <n v="303"/>
    <n v="388555"/>
    <n v="8.9"/>
    <n v="36397"/>
    <n v="1224"/>
    <n v="3.1501331857780751E-3"/>
    <x v="0"/>
  </r>
  <r>
    <x v="19"/>
    <x v="1"/>
    <s v="Facebook"/>
    <n v="643"/>
    <n v="358"/>
    <n v="157599"/>
    <n v="3.88"/>
    <n v="7285"/>
    <n v="285"/>
    <n v="1.8083871090552605E-3"/>
    <x v="0"/>
  </r>
  <r>
    <x v="19"/>
    <x v="2"/>
    <s v="Twitter"/>
    <n v="201"/>
    <n v="221"/>
    <n v="309772"/>
    <n v="5.9"/>
    <n v="33174"/>
    <n v="-20"/>
    <n v="-6.456361452939582E-5"/>
    <x v="0"/>
  </r>
  <r>
    <x v="19"/>
    <x v="3"/>
    <s v="YouTube"/>
    <n v="414"/>
    <n v="47"/>
    <n v="199178"/>
    <n v="1.53"/>
    <n v="6742"/>
    <n v="367"/>
    <n v="1.8425729749269497E-3"/>
    <x v="0"/>
  </r>
  <r>
    <x v="20"/>
    <x v="0"/>
    <s v="Instagram"/>
    <n v="703"/>
    <n v="441"/>
    <n v="357089"/>
    <n v="6.5"/>
    <n v="32478"/>
    <n v="262"/>
    <n v="7.3371064356504961E-4"/>
    <x v="2"/>
  </r>
  <r>
    <x v="20"/>
    <x v="1"/>
    <s v="Facebook"/>
    <n v="508"/>
    <n v="69"/>
    <n v="23492"/>
    <n v="3.16"/>
    <n v="42824"/>
    <n v="439"/>
    <n v="1.8687212668142345E-2"/>
    <x v="2"/>
  </r>
  <r>
    <x v="20"/>
    <x v="2"/>
    <s v="Twitter"/>
    <n v="697"/>
    <n v="61"/>
    <n v="258287"/>
    <n v="8.25"/>
    <n v="21208"/>
    <n v="636"/>
    <n v="2.4623771231227277E-3"/>
    <x v="2"/>
  </r>
  <r>
    <x v="20"/>
    <x v="3"/>
    <s v="YouTube"/>
    <n v="1707"/>
    <n v="223"/>
    <n v="256910"/>
    <n v="5.41"/>
    <n v="44321"/>
    <n v="1484"/>
    <n v="5.7763419096181542E-3"/>
    <x v="2"/>
  </r>
  <r>
    <x v="21"/>
    <x v="0"/>
    <s v="Instagram"/>
    <n v="642"/>
    <n v="66"/>
    <n v="346522"/>
    <n v="5.85"/>
    <n v="13116"/>
    <n v="576"/>
    <n v="1.6622321237901201E-3"/>
    <x v="3"/>
  </r>
  <r>
    <x v="21"/>
    <x v="1"/>
    <s v="Facebook"/>
    <n v="859"/>
    <n v="473"/>
    <n v="209987"/>
    <n v="4.46"/>
    <n v="30214"/>
    <n v="386"/>
    <n v="1.8382090319876945E-3"/>
    <x v="3"/>
  </r>
  <r>
    <x v="21"/>
    <x v="2"/>
    <s v="Twitter"/>
    <n v="191"/>
    <n v="154"/>
    <n v="240550"/>
    <n v="5.22"/>
    <n v="15827"/>
    <n v="37"/>
    <n v="1.5381417584701726E-4"/>
    <x v="3"/>
  </r>
  <r>
    <x v="21"/>
    <x v="3"/>
    <s v="YouTube"/>
    <n v="1814"/>
    <n v="157"/>
    <n v="305827"/>
    <n v="1.99"/>
    <n v="46643"/>
    <n v="1657"/>
    <n v="5.4180958515762179E-3"/>
    <x v="3"/>
  </r>
  <r>
    <x v="22"/>
    <x v="0"/>
    <s v="Instagram"/>
    <n v="1466"/>
    <n v="69"/>
    <n v="54935"/>
    <n v="6.85"/>
    <n v="36484"/>
    <n v="1397"/>
    <n v="2.5430053699827069E-2"/>
    <x v="0"/>
  </r>
  <r>
    <x v="22"/>
    <x v="1"/>
    <s v="Facebook"/>
    <n v="947"/>
    <n v="407"/>
    <n v="319186"/>
    <n v="3.32"/>
    <n v="4996"/>
    <n v="540"/>
    <n v="1.6918035252172713E-3"/>
    <x v="0"/>
  </r>
  <r>
    <x v="22"/>
    <x v="2"/>
    <s v="Twitter"/>
    <n v="1821"/>
    <n v="218"/>
    <n v="439080"/>
    <n v="5.68"/>
    <n v="36095"/>
    <n v="1603"/>
    <n v="3.6508153411678964E-3"/>
    <x v="0"/>
  </r>
  <r>
    <x v="22"/>
    <x v="3"/>
    <s v="YouTube"/>
    <n v="1507"/>
    <n v="463"/>
    <n v="258944"/>
    <n v="6.08"/>
    <n v="16443"/>
    <n v="1044"/>
    <n v="4.0317597627286209E-3"/>
    <x v="0"/>
  </r>
  <r>
    <x v="23"/>
    <x v="0"/>
    <s v="Instagram"/>
    <n v="1075"/>
    <n v="173"/>
    <n v="51395"/>
    <n v="4.66"/>
    <n v="47812"/>
    <n v="902"/>
    <n v="1.7550345364335054E-2"/>
    <x v="0"/>
  </r>
  <r>
    <x v="23"/>
    <x v="1"/>
    <s v="Facebook"/>
    <n v="171"/>
    <n v="277"/>
    <n v="309483"/>
    <n v="8.6999999999999993"/>
    <n v="38452"/>
    <n v="-106"/>
    <n v="-3.4250669665215861E-4"/>
    <x v="0"/>
  </r>
  <r>
    <x v="23"/>
    <x v="2"/>
    <s v="Twitter"/>
    <n v="1487"/>
    <n v="337"/>
    <n v="87305"/>
    <n v="2.46"/>
    <n v="30428"/>
    <n v="1150"/>
    <n v="1.3172212358971423E-2"/>
    <x v="0"/>
  </r>
  <r>
    <x v="23"/>
    <x v="3"/>
    <s v="YouTube"/>
    <n v="454"/>
    <n v="105"/>
    <n v="121091"/>
    <n v="7.97"/>
    <n v="9269"/>
    <n v="349"/>
    <n v="2.8821299683708945E-3"/>
    <x v="0"/>
  </r>
  <r>
    <x v="24"/>
    <x v="0"/>
    <s v="Instagram"/>
    <n v="187"/>
    <n v="236"/>
    <n v="51087"/>
    <n v="9.41"/>
    <n v="29533"/>
    <n v="-49"/>
    <n v="-9.5914811987394058E-4"/>
    <x v="2"/>
  </r>
  <r>
    <x v="24"/>
    <x v="1"/>
    <s v="Facebook"/>
    <n v="513"/>
    <n v="441"/>
    <n v="338847"/>
    <n v="2.68"/>
    <n v="39997"/>
    <n v="72"/>
    <n v="2.1248528096751631E-4"/>
    <x v="2"/>
  </r>
  <r>
    <x v="24"/>
    <x v="2"/>
    <s v="Twitter"/>
    <n v="628"/>
    <n v="183"/>
    <n v="487523"/>
    <n v="7.32"/>
    <n v="5391"/>
    <n v="445"/>
    <n v="9.1277744844858602E-4"/>
    <x v="2"/>
  </r>
  <r>
    <x v="24"/>
    <x v="3"/>
    <s v="YouTube"/>
    <n v="278"/>
    <n v="218"/>
    <n v="301695"/>
    <n v="4.68"/>
    <n v="22373"/>
    <n v="60"/>
    <n v="1.9887634863023914E-4"/>
    <x v="2"/>
  </r>
  <r>
    <x v="25"/>
    <x v="0"/>
    <s v="Instagram"/>
    <n v="1854"/>
    <n v="161"/>
    <n v="282466"/>
    <n v="5.17"/>
    <n v="1810"/>
    <n v="1693"/>
    <n v="5.9936417126309005E-3"/>
    <x v="4"/>
  </r>
  <r>
    <x v="25"/>
    <x v="1"/>
    <s v="Facebook"/>
    <n v="1710"/>
    <n v="378"/>
    <n v="336661"/>
    <n v="6.2"/>
    <n v="28498"/>
    <n v="1332"/>
    <n v="3.9565022381564839E-3"/>
    <x v="4"/>
  </r>
  <r>
    <x v="25"/>
    <x v="2"/>
    <s v="Twitter"/>
    <n v="330"/>
    <n v="232"/>
    <n v="88455"/>
    <n v="2.69"/>
    <n v="39530"/>
    <n v="98"/>
    <n v="1.1079079758069075E-3"/>
    <x v="4"/>
  </r>
  <r>
    <x v="25"/>
    <x v="3"/>
    <s v="YouTube"/>
    <n v="1293"/>
    <n v="408"/>
    <n v="62535"/>
    <n v="8.9"/>
    <n v="37876"/>
    <n v="885"/>
    <n v="1.4152074838090669E-2"/>
    <x v="4"/>
  </r>
  <r>
    <x v="26"/>
    <x v="0"/>
    <s v="Instagram"/>
    <n v="1696"/>
    <n v="71"/>
    <n v="421957"/>
    <n v="3.79"/>
    <n v="36103"/>
    <n v="1625"/>
    <n v="3.8511033114748661E-3"/>
    <x v="1"/>
  </r>
  <r>
    <x v="26"/>
    <x v="1"/>
    <s v="Facebook"/>
    <n v="1902"/>
    <n v="196"/>
    <n v="470269"/>
    <n v="4.79"/>
    <n v="26103"/>
    <n v="1706"/>
    <n v="3.6277109484146308E-3"/>
    <x v="1"/>
  </r>
  <r>
    <x v="26"/>
    <x v="2"/>
    <s v="Twitter"/>
    <n v="1441"/>
    <n v="268"/>
    <n v="309904"/>
    <n v="6.37"/>
    <n v="3455"/>
    <n v="1173"/>
    <n v="3.7850431101244257E-3"/>
    <x v="1"/>
  </r>
  <r>
    <x v="26"/>
    <x v="3"/>
    <s v="YouTube"/>
    <n v="452"/>
    <n v="161"/>
    <n v="221274"/>
    <n v="2.65"/>
    <n v="40888"/>
    <n v="291"/>
    <n v="1.3151115811166245E-3"/>
    <x v="1"/>
  </r>
  <r>
    <x v="27"/>
    <x v="0"/>
    <s v="Instagram"/>
    <n v="1494"/>
    <n v="375"/>
    <n v="220616"/>
    <n v="1.81"/>
    <n v="22724"/>
    <n v="1119"/>
    <n v="5.0721615839286359E-3"/>
    <x v="0"/>
  </r>
  <r>
    <x v="27"/>
    <x v="1"/>
    <s v="Facebook"/>
    <n v="1514"/>
    <n v="141"/>
    <n v="35842"/>
    <n v="7.47"/>
    <n v="18601"/>
    <n v="1373"/>
    <n v="3.8307014117515761E-2"/>
    <x v="0"/>
  </r>
  <r>
    <x v="27"/>
    <x v="2"/>
    <s v="Twitter"/>
    <n v="1937"/>
    <n v="210"/>
    <n v="20607"/>
    <n v="4.2"/>
    <n v="20861"/>
    <n v="1727"/>
    <n v="8.3806473528412681E-2"/>
    <x v="0"/>
  </r>
  <r>
    <x v="27"/>
    <x v="3"/>
    <s v="YouTube"/>
    <n v="736"/>
    <n v="163"/>
    <n v="451894"/>
    <n v="5.43"/>
    <n v="46625"/>
    <n v="573"/>
    <n v="1.2679964770499277E-3"/>
    <x v="0"/>
  </r>
  <r>
    <x v="28"/>
    <x v="0"/>
    <s v="Instagram"/>
    <n v="1502"/>
    <n v="70"/>
    <n v="465553"/>
    <n v="3.32"/>
    <n v="20692"/>
    <n v="1432"/>
    <n v="3.0759118725472716E-3"/>
    <x v="1"/>
  </r>
  <r>
    <x v="28"/>
    <x v="1"/>
    <s v="Facebook"/>
    <n v="1623"/>
    <n v="246"/>
    <n v="415815"/>
    <n v="8.11"/>
    <n v="18656"/>
    <n v="1377"/>
    <n v="3.311568846722701E-3"/>
    <x v="1"/>
  </r>
  <r>
    <x v="28"/>
    <x v="2"/>
    <s v="Twitter"/>
    <n v="1592"/>
    <n v="233"/>
    <n v="327183"/>
    <n v="6.66"/>
    <n v="13316"/>
    <n v="1359"/>
    <n v="4.1536387893013997E-3"/>
    <x v="1"/>
  </r>
  <r>
    <x v="28"/>
    <x v="3"/>
    <s v="YouTube"/>
    <n v="1004"/>
    <n v="128"/>
    <n v="488901"/>
    <n v="8.09"/>
    <n v="49558"/>
    <n v="876"/>
    <n v="1.7917737946946315E-3"/>
    <x v="1"/>
  </r>
  <r>
    <x v="29"/>
    <x v="0"/>
    <s v="Instagram"/>
    <n v="1092"/>
    <n v="408"/>
    <n v="280795"/>
    <n v="8.44"/>
    <n v="4683"/>
    <n v="684"/>
    <n v="2.4359408109118751E-3"/>
    <x v="2"/>
  </r>
  <r>
    <x v="29"/>
    <x v="1"/>
    <s v="Facebook"/>
    <n v="1155"/>
    <n v="425"/>
    <n v="93347"/>
    <n v="2.02"/>
    <n v="47502"/>
    <n v="730"/>
    <n v="7.8202834584935772E-3"/>
    <x v="2"/>
  </r>
  <r>
    <x v="29"/>
    <x v="2"/>
    <s v="Twitter"/>
    <n v="1137"/>
    <n v="226"/>
    <n v="81119"/>
    <n v="7.74"/>
    <n v="35359"/>
    <n v="911"/>
    <n v="1.1230414576116569E-2"/>
    <x v="2"/>
  </r>
  <r>
    <x v="29"/>
    <x v="3"/>
    <s v="YouTube"/>
    <n v="1900"/>
    <n v="311"/>
    <n v="25177"/>
    <n v="2.89"/>
    <n v="14154"/>
    <n v="1589"/>
    <n v="6.3113158835445049E-2"/>
    <x v="2"/>
  </r>
  <r>
    <x v="30"/>
    <x v="0"/>
    <s v="Instagram"/>
    <n v="1814"/>
    <n v="49"/>
    <n v="140804"/>
    <n v="1.76"/>
    <n v="4313"/>
    <n v="1765"/>
    <n v="1.253515525127127E-2"/>
    <x v="3"/>
  </r>
  <r>
    <x v="30"/>
    <x v="1"/>
    <s v="Facebook"/>
    <n v="1980"/>
    <n v="204"/>
    <n v="379431"/>
    <n v="3.09"/>
    <n v="25140"/>
    <n v="1776"/>
    <n v="4.6806929323118035E-3"/>
    <x v="3"/>
  </r>
  <r>
    <x v="30"/>
    <x v="2"/>
    <s v="Twitter"/>
    <n v="1786"/>
    <n v="257"/>
    <n v="274831"/>
    <n v="4.68"/>
    <n v="9118"/>
    <n v="1529"/>
    <n v="5.5634189738421064E-3"/>
    <x v="3"/>
  </r>
  <r>
    <x v="30"/>
    <x v="3"/>
    <s v="YouTube"/>
    <n v="1495"/>
    <n v="35"/>
    <n v="136845"/>
    <n v="4.4800000000000004"/>
    <n v="39931"/>
    <n v="1460"/>
    <n v="1.0669005078738719E-2"/>
    <x v="3"/>
  </r>
  <r>
    <x v="31"/>
    <x v="0"/>
    <s v="Instagram"/>
    <n v="1013"/>
    <n v="110"/>
    <n v="466382"/>
    <n v="5.3"/>
    <n v="37132"/>
    <n v="903"/>
    <n v="1.9361810704529763E-3"/>
    <x v="1"/>
  </r>
  <r>
    <x v="31"/>
    <x v="1"/>
    <s v="Facebook"/>
    <n v="816"/>
    <n v="196"/>
    <n v="95728"/>
    <n v="8.1999999999999993"/>
    <n v="17951"/>
    <n v="620"/>
    <n v="6.4766839378238338E-3"/>
    <x v="1"/>
  </r>
  <r>
    <x v="31"/>
    <x v="2"/>
    <s v="Twitter"/>
    <n v="1633"/>
    <n v="445"/>
    <n v="371156"/>
    <n v="2.2200000000000002"/>
    <n v="2798"/>
    <n v="1188"/>
    <n v="3.2008104408927781E-3"/>
    <x v="1"/>
  </r>
  <r>
    <x v="31"/>
    <x v="3"/>
    <s v="YouTube"/>
    <n v="891"/>
    <n v="45"/>
    <n v="95410"/>
    <n v="8.33"/>
    <n v="15045"/>
    <n v="846"/>
    <n v="8.8669950738916262E-3"/>
    <x v="1"/>
  </r>
  <r>
    <x v="32"/>
    <x v="0"/>
    <s v="Instagram"/>
    <n v="1855"/>
    <n v="133"/>
    <n v="349413"/>
    <n v="3.3"/>
    <n v="14548"/>
    <n v="1722"/>
    <n v="4.9282654051223049E-3"/>
    <x v="2"/>
  </r>
  <r>
    <x v="32"/>
    <x v="1"/>
    <s v="Facebook"/>
    <n v="651"/>
    <n v="353"/>
    <n v="224699"/>
    <n v="5.61"/>
    <n v="45708"/>
    <n v="298"/>
    <n v="1.3262186302564765E-3"/>
    <x v="2"/>
  </r>
  <r>
    <x v="32"/>
    <x v="2"/>
    <s v="Twitter"/>
    <n v="118"/>
    <n v="262"/>
    <n v="487896"/>
    <n v="2.56"/>
    <n v="12350"/>
    <n v="-144"/>
    <n v="-2.9514486693885583E-4"/>
    <x v="2"/>
  </r>
  <r>
    <x v="32"/>
    <x v="3"/>
    <s v="YouTube"/>
    <n v="1331"/>
    <n v="430"/>
    <n v="14437"/>
    <n v="3.29"/>
    <n v="40868"/>
    <n v="901"/>
    <n v="6.2409087760615087E-2"/>
    <x v="2"/>
  </r>
  <r>
    <x v="33"/>
    <x v="0"/>
    <s v="Instagram"/>
    <n v="1748"/>
    <n v="176"/>
    <n v="383681"/>
    <n v="9.24"/>
    <n v="43122"/>
    <n v="1572"/>
    <n v="4.0971536250166149E-3"/>
    <x v="0"/>
  </r>
  <r>
    <x v="33"/>
    <x v="1"/>
    <s v="Facebook"/>
    <n v="663"/>
    <n v="236"/>
    <n v="479490"/>
    <n v="4.51"/>
    <n v="23853"/>
    <n v="427"/>
    <n v="8.9052952094934197E-4"/>
    <x v="0"/>
  </r>
  <r>
    <x v="33"/>
    <x v="2"/>
    <s v="Twitter"/>
    <n v="1040"/>
    <n v="149"/>
    <n v="124404"/>
    <n v="5.23"/>
    <n v="45380"/>
    <n v="891"/>
    <n v="7.1621491270377159E-3"/>
    <x v="0"/>
  </r>
  <r>
    <x v="33"/>
    <x v="3"/>
    <s v="YouTube"/>
    <n v="1166"/>
    <n v="442"/>
    <n v="336949"/>
    <n v="4.68"/>
    <n v="7705"/>
    <n v="724"/>
    <n v="2.1486931256659019E-3"/>
    <x v="0"/>
  </r>
  <r>
    <x v="34"/>
    <x v="0"/>
    <s v="Instagram"/>
    <n v="115"/>
    <n v="281"/>
    <n v="357265"/>
    <n v="9.23"/>
    <n v="25525"/>
    <n v="-166"/>
    <n v="-4.6464109274628077E-4"/>
    <x v="0"/>
  </r>
  <r>
    <x v="34"/>
    <x v="1"/>
    <s v="Facebook"/>
    <n v="1249"/>
    <n v="351"/>
    <n v="321307"/>
    <n v="6.37"/>
    <n v="20560"/>
    <n v="898"/>
    <n v="2.7948348464241365E-3"/>
    <x v="0"/>
  </r>
  <r>
    <x v="34"/>
    <x v="2"/>
    <s v="Twitter"/>
    <n v="1501"/>
    <n v="75"/>
    <n v="262569"/>
    <n v="2.0099999999999998"/>
    <n v="19119"/>
    <n v="1426"/>
    <n v="5.4309533874905263E-3"/>
    <x v="0"/>
  </r>
  <r>
    <x v="34"/>
    <x v="3"/>
    <s v="YouTube"/>
    <n v="1411"/>
    <n v="186"/>
    <n v="461669"/>
    <n v="3.72"/>
    <n v="43999"/>
    <n v="1225"/>
    <n v="2.6534161921203288E-3"/>
    <x v="0"/>
  </r>
  <r>
    <x v="35"/>
    <x v="0"/>
    <s v="Instagram"/>
    <n v="1556"/>
    <n v="476"/>
    <n v="351556"/>
    <n v="3.89"/>
    <n v="10825"/>
    <n v="1080"/>
    <n v="3.0720567989168156E-3"/>
    <x v="0"/>
  </r>
  <r>
    <x v="35"/>
    <x v="1"/>
    <s v="Facebook"/>
    <n v="1159"/>
    <n v="411"/>
    <n v="135987"/>
    <n v="8.6999999999999993"/>
    <n v="40323"/>
    <n v="748"/>
    <n v="5.5005257855530306E-3"/>
    <x v="0"/>
  </r>
  <r>
    <x v="35"/>
    <x v="2"/>
    <s v="Twitter"/>
    <n v="927"/>
    <n v="358"/>
    <n v="177554"/>
    <n v="6.95"/>
    <n v="48270"/>
    <n v="569"/>
    <n v="3.2046588643454949E-3"/>
    <x v="0"/>
  </r>
  <r>
    <x v="35"/>
    <x v="3"/>
    <s v="YouTube"/>
    <n v="152"/>
    <n v="355"/>
    <n v="270766"/>
    <n v="9.48"/>
    <n v="18001"/>
    <n v="-203"/>
    <n v="-7.4972485467156139E-4"/>
    <x v="0"/>
  </r>
  <r>
    <x v="36"/>
    <x v="0"/>
    <s v="Instagram"/>
    <n v="1957"/>
    <n v="234"/>
    <n v="222126"/>
    <n v="4.6100000000000003"/>
    <n v="3314"/>
    <n v="1723"/>
    <n v="7.7568587198256845E-3"/>
    <x v="4"/>
  </r>
  <r>
    <x v="36"/>
    <x v="1"/>
    <s v="Facebook"/>
    <n v="1294"/>
    <n v="382"/>
    <n v="309914"/>
    <n v="8.0299999999999994"/>
    <n v="23489"/>
    <n v="912"/>
    <n v="2.9427518601934728E-3"/>
    <x v="4"/>
  </r>
  <r>
    <x v="36"/>
    <x v="2"/>
    <s v="Twitter"/>
    <n v="1587"/>
    <n v="385"/>
    <n v="126582"/>
    <n v="6.99"/>
    <n v="42832"/>
    <n v="1202"/>
    <n v="9.4958208908059605E-3"/>
    <x v="4"/>
  </r>
  <r>
    <x v="36"/>
    <x v="3"/>
    <s v="YouTube"/>
    <n v="1707"/>
    <n v="263"/>
    <n v="485280"/>
    <n v="9.0299999999999994"/>
    <n v="24494"/>
    <n v="1444"/>
    <n v="2.9756017144741179E-3"/>
    <x v="4"/>
  </r>
  <r>
    <x v="37"/>
    <x v="0"/>
    <s v="Instagram"/>
    <n v="1138"/>
    <n v="173"/>
    <n v="453243"/>
    <n v="2.86"/>
    <n v="44097"/>
    <n v="965"/>
    <n v="2.1291007252180398E-3"/>
    <x v="0"/>
  </r>
  <r>
    <x v="37"/>
    <x v="1"/>
    <s v="Facebook"/>
    <n v="1895"/>
    <n v="305"/>
    <n v="104967"/>
    <n v="3.85"/>
    <n v="31853"/>
    <n v="1590"/>
    <n v="1.5147617822744291E-2"/>
    <x v="0"/>
  </r>
  <r>
    <x v="37"/>
    <x v="2"/>
    <s v="Twitter"/>
    <n v="362"/>
    <n v="399"/>
    <n v="145608"/>
    <n v="7.3"/>
    <n v="37636"/>
    <n v="-37"/>
    <n v="-2.5410691720235154E-4"/>
    <x v="0"/>
  </r>
  <r>
    <x v="37"/>
    <x v="3"/>
    <s v="YouTube"/>
    <n v="1662"/>
    <n v="487"/>
    <n v="105980"/>
    <n v="9.08"/>
    <n v="22996"/>
    <n v="1175"/>
    <n v="1.1086997546706926E-2"/>
    <x v="0"/>
  </r>
  <r>
    <x v="38"/>
    <x v="0"/>
    <s v="Instagram"/>
    <n v="1440"/>
    <n v="65"/>
    <n v="126524"/>
    <n v="4.34"/>
    <n v="49772"/>
    <n v="1375"/>
    <n v="1.0867503398564699E-2"/>
    <x v="4"/>
  </r>
  <r>
    <x v="38"/>
    <x v="1"/>
    <s v="Facebook"/>
    <n v="1884"/>
    <n v="177"/>
    <n v="230448"/>
    <n v="7.8"/>
    <n v="22713"/>
    <n v="1707"/>
    <n v="7.4073109768798169E-3"/>
    <x v="4"/>
  </r>
  <r>
    <x v="38"/>
    <x v="2"/>
    <s v="Twitter"/>
    <n v="861"/>
    <n v="153"/>
    <n v="317007"/>
    <n v="3.85"/>
    <n v="8718"/>
    <n v="708"/>
    <n v="2.2333891680625349E-3"/>
    <x v="4"/>
  </r>
  <r>
    <x v="38"/>
    <x v="3"/>
    <s v="YouTube"/>
    <n v="1063"/>
    <n v="47"/>
    <n v="464239"/>
    <n v="6.58"/>
    <n v="39031"/>
    <n v="1016"/>
    <n v="2.1885278918832756E-3"/>
    <x v="4"/>
  </r>
  <r>
    <x v="39"/>
    <x v="0"/>
    <s v="Instagram"/>
    <n v="1371"/>
    <n v="56"/>
    <n v="257579"/>
    <n v="8.6199999999999992"/>
    <n v="33799"/>
    <n v="1315"/>
    <n v="5.1052298518124532E-3"/>
    <x v="1"/>
  </r>
  <r>
    <x v="39"/>
    <x v="1"/>
    <s v="Facebook"/>
    <n v="345"/>
    <n v="464"/>
    <n v="366881"/>
    <n v="4.55"/>
    <n v="20553"/>
    <n v="-119"/>
    <n v="-3.2435585380545735E-4"/>
    <x v="1"/>
  </r>
  <r>
    <x v="39"/>
    <x v="2"/>
    <s v="Twitter"/>
    <n v="946"/>
    <n v="47"/>
    <n v="466575"/>
    <n v="8.33"/>
    <n v="10002"/>
    <n v="899"/>
    <n v="1.9268070513850934E-3"/>
    <x v="1"/>
  </r>
  <r>
    <x v="39"/>
    <x v="3"/>
    <s v="YouTube"/>
    <n v="510"/>
    <n v="195"/>
    <n v="224534"/>
    <n v="9.4"/>
    <n v="30987"/>
    <n v="315"/>
    <n v="1.4029055733207443E-3"/>
    <x v="1"/>
  </r>
  <r>
    <x v="40"/>
    <x v="0"/>
    <s v="Instagram"/>
    <n v="393"/>
    <n v="181"/>
    <n v="462142"/>
    <n v="7.23"/>
    <n v="6296"/>
    <n v="212"/>
    <n v="4.5873346287504706E-4"/>
    <x v="0"/>
  </r>
  <r>
    <x v="40"/>
    <x v="1"/>
    <s v="Facebook"/>
    <n v="1098"/>
    <n v="190"/>
    <n v="340842"/>
    <n v="9.39"/>
    <n v="21539"/>
    <n v="908"/>
    <n v="2.6639909400836752E-3"/>
    <x v="0"/>
  </r>
  <r>
    <x v="40"/>
    <x v="2"/>
    <s v="Twitter"/>
    <n v="1399"/>
    <n v="49"/>
    <n v="12471"/>
    <n v="5.12"/>
    <n v="14722"/>
    <n v="1350"/>
    <n v="0.10825114265095021"/>
    <x v="0"/>
  </r>
  <r>
    <x v="40"/>
    <x v="3"/>
    <s v="YouTube"/>
    <n v="1658"/>
    <n v="416"/>
    <n v="98397"/>
    <n v="6.11"/>
    <n v="11383"/>
    <n v="1242"/>
    <n v="1.2622336046830695E-2"/>
    <x v="0"/>
  </r>
  <r>
    <x v="41"/>
    <x v="0"/>
    <s v="Instagram"/>
    <n v="1102"/>
    <n v="422"/>
    <n v="410330"/>
    <n v="7.74"/>
    <n v="9480"/>
    <n v="680"/>
    <n v="1.6572027392586454E-3"/>
    <x v="1"/>
  </r>
  <r>
    <x v="41"/>
    <x v="1"/>
    <s v="Facebook"/>
    <n v="1358"/>
    <n v="242"/>
    <n v="342129"/>
    <n v="4.9400000000000004"/>
    <n v="29116"/>
    <n v="1116"/>
    <n v="3.2619275185675578E-3"/>
    <x v="1"/>
  </r>
  <r>
    <x v="41"/>
    <x v="2"/>
    <s v="Twitter"/>
    <n v="1077"/>
    <n v="216"/>
    <n v="12447"/>
    <n v="1.8"/>
    <n v="14068"/>
    <n v="861"/>
    <n v="6.9173294769824048E-2"/>
    <x v="1"/>
  </r>
  <r>
    <x v="41"/>
    <x v="3"/>
    <s v="YouTube"/>
    <n v="1596"/>
    <n v="211"/>
    <n v="17380"/>
    <n v="8.64"/>
    <n v="35801"/>
    <n v="1385"/>
    <n v="7.9689298043728429E-2"/>
    <x v="1"/>
  </r>
  <r>
    <x v="42"/>
    <x v="0"/>
    <s v="Instagram"/>
    <n v="490"/>
    <n v="29"/>
    <n v="364810"/>
    <n v="1.53"/>
    <n v="49077"/>
    <n v="461"/>
    <n v="1.2636715002329981E-3"/>
    <x v="0"/>
  </r>
  <r>
    <x v="42"/>
    <x v="1"/>
    <s v="Facebook"/>
    <n v="609"/>
    <n v="135"/>
    <n v="373606"/>
    <n v="8.52"/>
    <n v="21453"/>
    <n v="474"/>
    <n v="1.268716241173857E-3"/>
    <x v="0"/>
  </r>
  <r>
    <x v="42"/>
    <x v="2"/>
    <s v="Twitter"/>
    <n v="364"/>
    <n v="72"/>
    <n v="211090"/>
    <n v="5.53"/>
    <n v="21061"/>
    <n v="292"/>
    <n v="1.3832962243592781E-3"/>
    <x v="0"/>
  </r>
  <r>
    <x v="42"/>
    <x v="3"/>
    <s v="YouTube"/>
    <n v="442"/>
    <n v="53"/>
    <n v="441931"/>
    <n v="1.87"/>
    <n v="20059"/>
    <n v="389"/>
    <n v="8.8022790888170322E-4"/>
    <x v="0"/>
  </r>
  <r>
    <x v="43"/>
    <x v="0"/>
    <s v="Instagram"/>
    <n v="1033"/>
    <n v="392"/>
    <n v="282780"/>
    <n v="6.27"/>
    <n v="23140"/>
    <n v="641"/>
    <n v="2.2667798288422093E-3"/>
    <x v="3"/>
  </r>
  <r>
    <x v="43"/>
    <x v="1"/>
    <s v="Facebook"/>
    <n v="988"/>
    <n v="474"/>
    <n v="370070"/>
    <n v="9.4600000000000009"/>
    <n v="23461"/>
    <n v="514"/>
    <n v="1.3889264193260734E-3"/>
    <x v="3"/>
  </r>
  <r>
    <x v="43"/>
    <x v="2"/>
    <s v="Twitter"/>
    <n v="1946"/>
    <n v="270"/>
    <n v="198350"/>
    <n v="7.5"/>
    <n v="11805"/>
    <n v="1676"/>
    <n v="8.4497101083942528E-3"/>
    <x v="3"/>
  </r>
  <r>
    <x v="43"/>
    <x v="3"/>
    <s v="YouTube"/>
    <n v="1957"/>
    <n v="490"/>
    <n v="435726"/>
    <n v="4.7300000000000004"/>
    <n v="15969"/>
    <n v="1467"/>
    <n v="3.3667947287974553E-3"/>
    <x v="3"/>
  </r>
  <r>
    <x v="44"/>
    <x v="0"/>
    <s v="Instagram"/>
    <n v="559"/>
    <n v="392"/>
    <n v="78789"/>
    <n v="3.19"/>
    <n v="2436"/>
    <n v="167"/>
    <n v="2.1195852212872357E-3"/>
    <x v="1"/>
  </r>
  <r>
    <x v="44"/>
    <x v="1"/>
    <s v="Facebook"/>
    <n v="1307"/>
    <n v="278"/>
    <n v="98596"/>
    <n v="2.4900000000000002"/>
    <n v="47603"/>
    <n v="1029"/>
    <n v="1.0436528865268368E-2"/>
    <x v="1"/>
  </r>
  <r>
    <x v="44"/>
    <x v="2"/>
    <s v="Twitter"/>
    <n v="1432"/>
    <n v="425"/>
    <n v="29589"/>
    <n v="4.5"/>
    <n v="42964"/>
    <n v="1007"/>
    <n v="3.4032917638311531E-2"/>
    <x v="1"/>
  </r>
  <r>
    <x v="44"/>
    <x v="3"/>
    <s v="YouTube"/>
    <n v="623"/>
    <n v="414"/>
    <n v="290354"/>
    <n v="6.49"/>
    <n v="39923"/>
    <n v="209"/>
    <n v="7.1981098934404211E-4"/>
    <x v="1"/>
  </r>
  <r>
    <x v="45"/>
    <x v="0"/>
    <s v="Instagram"/>
    <n v="198"/>
    <n v="358"/>
    <n v="66682"/>
    <n v="6.73"/>
    <n v="2293"/>
    <n v="-160"/>
    <n v="-2.3994481269308059E-3"/>
    <x v="2"/>
  </r>
  <r>
    <x v="45"/>
    <x v="1"/>
    <s v="Facebook"/>
    <n v="198"/>
    <n v="373"/>
    <n v="70707"/>
    <n v="4.83"/>
    <n v="25920"/>
    <n v="-175"/>
    <n v="-2.4750024750024749E-3"/>
    <x v="2"/>
  </r>
  <r>
    <x v="45"/>
    <x v="2"/>
    <s v="Twitter"/>
    <n v="353"/>
    <n v="300"/>
    <n v="142507"/>
    <n v="5.3"/>
    <n v="11035"/>
    <n v="53"/>
    <n v="3.7191155522184875E-4"/>
    <x v="2"/>
  </r>
  <r>
    <x v="45"/>
    <x v="3"/>
    <s v="YouTube"/>
    <n v="520"/>
    <n v="375"/>
    <n v="369525"/>
    <n v="6.54"/>
    <n v="20733"/>
    <n v="145"/>
    <n v="3.9239564305527366E-4"/>
    <x v="2"/>
  </r>
  <r>
    <x v="46"/>
    <x v="0"/>
    <s v="Instagram"/>
    <n v="961"/>
    <n v="358"/>
    <n v="62942"/>
    <n v="6.8"/>
    <n v="18693"/>
    <n v="603"/>
    <n v="9.5802484827301332E-3"/>
    <x v="1"/>
  </r>
  <r>
    <x v="46"/>
    <x v="1"/>
    <s v="Facebook"/>
    <n v="1375"/>
    <n v="330"/>
    <n v="377382"/>
    <n v="2.6"/>
    <n v="7875"/>
    <n v="1045"/>
    <n v="2.7690774864725927E-3"/>
    <x v="1"/>
  </r>
  <r>
    <x v="46"/>
    <x v="2"/>
    <s v="Twitter"/>
    <n v="1147"/>
    <n v="388"/>
    <n v="333851"/>
    <n v="2.44"/>
    <n v="8471"/>
    <n v="759"/>
    <n v="2.2734693021737242E-3"/>
    <x v="1"/>
  </r>
  <r>
    <x v="46"/>
    <x v="3"/>
    <s v="YouTube"/>
    <n v="1707"/>
    <n v="74"/>
    <n v="270958"/>
    <n v="3.09"/>
    <n v="14090"/>
    <n v="1633"/>
    <n v="6.0267642955734836E-3"/>
    <x v="1"/>
  </r>
  <r>
    <x v="47"/>
    <x v="0"/>
    <s v="Instagram"/>
    <n v="1693"/>
    <n v="154"/>
    <n v="445944"/>
    <n v="5.69"/>
    <n v="14216"/>
    <n v="1539"/>
    <n v="3.4511059684624078E-3"/>
    <x v="3"/>
  </r>
  <r>
    <x v="47"/>
    <x v="1"/>
    <s v="Facebook"/>
    <n v="833"/>
    <n v="380"/>
    <n v="224830"/>
    <n v="3.86"/>
    <n v="3582"/>
    <n v="453"/>
    <n v="2.014855668727483E-3"/>
    <x v="3"/>
  </r>
  <r>
    <x v="47"/>
    <x v="2"/>
    <s v="Twitter"/>
    <n v="1222"/>
    <n v="274"/>
    <n v="487289"/>
    <n v="3.16"/>
    <n v="32500"/>
    <n v="948"/>
    <n v="1.9454574184929272E-3"/>
    <x v="3"/>
  </r>
  <r>
    <x v="47"/>
    <x v="3"/>
    <s v="YouTube"/>
    <n v="777"/>
    <n v="140"/>
    <n v="11435"/>
    <n v="1.6"/>
    <n v="6832"/>
    <n v="637"/>
    <n v="5.5706165282028861E-2"/>
    <x v="3"/>
  </r>
  <r>
    <x v="48"/>
    <x v="0"/>
    <s v="Instagram"/>
    <n v="1957"/>
    <n v="76"/>
    <n v="447902"/>
    <n v="6.09"/>
    <n v="33381"/>
    <n v="1881"/>
    <n v="4.1995793722733989E-3"/>
    <x v="0"/>
  </r>
  <r>
    <x v="48"/>
    <x v="1"/>
    <s v="Facebook"/>
    <n v="405"/>
    <n v="66"/>
    <n v="418696"/>
    <n v="5.59"/>
    <n v="48419"/>
    <n v="339"/>
    <n v="8.0965664826031301E-4"/>
    <x v="0"/>
  </r>
  <r>
    <x v="48"/>
    <x v="2"/>
    <s v="Twitter"/>
    <n v="1581"/>
    <n v="71"/>
    <n v="484364"/>
    <n v="3.55"/>
    <n v="16149"/>
    <n v="1510"/>
    <n v="3.1174901520344203E-3"/>
    <x v="0"/>
  </r>
  <r>
    <x v="48"/>
    <x v="3"/>
    <s v="YouTube"/>
    <n v="1035"/>
    <n v="171"/>
    <n v="148477"/>
    <n v="5.21"/>
    <n v="7541"/>
    <n v="864"/>
    <n v="5.8190830903102836E-3"/>
    <x v="0"/>
  </r>
  <r>
    <x v="49"/>
    <x v="0"/>
    <s v="Instagram"/>
    <n v="1765"/>
    <n v="109"/>
    <n v="468301"/>
    <n v="1.82"/>
    <n v="20042"/>
    <n v="1656"/>
    <n v="3.5361871958419907E-3"/>
    <x v="3"/>
  </r>
  <r>
    <x v="49"/>
    <x v="1"/>
    <s v="Facebook"/>
    <n v="837"/>
    <n v="430"/>
    <n v="364820"/>
    <n v="4"/>
    <n v="49400"/>
    <n v="407"/>
    <n v="1.1156186612576065E-3"/>
    <x v="3"/>
  </r>
  <r>
    <x v="49"/>
    <x v="2"/>
    <s v="Twitter"/>
    <n v="337"/>
    <n v="68"/>
    <n v="456298"/>
    <n v="7.57"/>
    <n v="4007"/>
    <n v="269"/>
    <n v="5.8952701962314107E-4"/>
    <x v="3"/>
  </r>
  <r>
    <x v="49"/>
    <x v="3"/>
    <s v="YouTube"/>
    <n v="119"/>
    <n v="456"/>
    <n v="82558"/>
    <n v="6.81"/>
    <n v="12174"/>
    <n v="-337"/>
    <n v="-4.0819787301048958E-3"/>
    <x v="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2090555"/>
    <n v="39444.433962264149"/>
    <n v="154613"/>
    <n v="2917.2264150943397"/>
    <n v="7094"/>
    <n v="133.84905660377359"/>
  </r>
  <r>
    <x v="1"/>
    <n v="2318527"/>
    <n v="34095.98529411765"/>
    <n v="185071"/>
    <n v="2721.6323529411766"/>
    <n v="11168"/>
    <n v="164.23529411764707"/>
  </r>
  <r>
    <x v="2"/>
    <n v="2507489"/>
    <n v="32993.276315789473"/>
    <n v="201400"/>
    <n v="2650"/>
    <n v="11039"/>
    <n v="145.25"/>
  </r>
  <r>
    <x v="3"/>
    <n v="2905567"/>
    <n v="35871.1975308642"/>
    <n v="219562"/>
    <n v="2710.641975308642"/>
    <n v="12544"/>
    <n v="154.864197530864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BDA2AB-4990-4D87-916B-5D217A2A2E43}" name="PivotTable5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5">
  <location ref="A69:B75" firstHeaderRow="1" firstDataRow="1" firstDataCol="1"/>
  <pivotFields count="18"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sortType="descending">
      <items count="7">
        <item x="1"/>
        <item x="3"/>
        <item x="4"/>
        <item x="0"/>
        <item x="5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9" showAll="0"/>
    <pivotField showAll="0"/>
    <pivotField showAll="0"/>
    <pivotField showAll="0"/>
    <pivotField numFmtId="166" showAll="0"/>
  </pivotFields>
  <rowFields count="1">
    <field x="11"/>
  </rowFields>
  <rowItems count="6">
    <i>
      <x/>
    </i>
    <i>
      <x v="5"/>
    </i>
    <i>
      <x v="2"/>
    </i>
    <i>
      <x v="3"/>
    </i>
    <i>
      <x v="1"/>
    </i>
    <i>
      <x v="4"/>
    </i>
  </rowItems>
  <colItems count="1">
    <i/>
  </colItems>
  <dataFields count="1">
    <dataField name="Average of Clicks" fld="10" subtotal="average" baseField="11" baseItem="0"/>
  </dataFields>
  <formats count="2">
    <format dxfId="8">
      <pivotArea collapsedLevelsAreSubtotals="1" fieldPosition="0">
        <references count="1">
          <reference field="11" count="0"/>
        </references>
      </pivotArea>
    </format>
    <format dxfId="7">
      <pivotArea grandRow="1"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CD4909-6321-4E02-8383-2E63C8D87C9C}" name="PivotTable4" cacheId="0" applyNumberFormats="0" applyBorderFormats="0" applyFontFormats="0" applyPatternFormats="0" applyAlignmentFormats="0" applyWidthHeightFormats="1" dataCaption="Values" updatedVersion="8" minRefreshableVersion="3" rowGrandTotals="0" itemPrintTitles="1" createdVersion="8" indent="0" outline="1" outlineData="1" multipleFieldFilters="0" chartFormat="4">
  <location ref="A33:D61" firstHeaderRow="0" firstDataRow="1" firstDataCol="1"/>
  <pivotFields count="18">
    <pivotField showAll="0"/>
    <pivotField axis="axisRow" showAll="0">
      <items count="5">
        <item x="3"/>
        <item x="2"/>
        <item x="0"/>
        <item x="1"/>
        <item t="default"/>
      </items>
    </pivotField>
    <pivotField numFmtId="164" showAll="0"/>
    <pivotField axis="axisRow" showAll="0">
      <items count="7">
        <item x="3"/>
        <item x="4"/>
        <item x="0"/>
        <item x="2"/>
        <item x="1"/>
        <item x="5"/>
        <item t="default"/>
      </items>
    </pivotField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numFmtId="9" showAll="0"/>
    <pivotField showAll="0"/>
    <pivotField showAll="0"/>
    <pivotField showAll="0"/>
    <pivotField numFmtId="166" showAll="0"/>
  </pivotFields>
  <rowFields count="2">
    <field x="1"/>
    <field x="3"/>
  </rowFields>
  <rowItems count="28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Likes" fld="5" baseField="0" baseItem="0"/>
    <dataField name="Sum of Shares" fld="6" baseField="0" baseItem="0"/>
    <dataField name="Sum of Comment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6DDA4E-1297-4E44-8D6C-933E6CC15ADA}" name="PivotTable3" cacheId="0" applyNumberFormats="0" applyBorderFormats="0" applyFontFormats="0" applyPatternFormats="0" applyAlignmentFormats="0" applyWidthHeightFormats="1" dataCaption="Values" updatedVersion="8" minRefreshableVersion="3" rowGrandTotals="0" itemPrintTitles="1" createdVersion="8" indent="0" outline="1" outlineData="1" multipleFieldFilters="0" chartFormat="5">
  <location ref="A17:B27" firstHeaderRow="1" firstDataRow="1" firstDataCol="1"/>
  <pivotFields count="18">
    <pivotField axis="axisRow" showAll="0" measureFilter="1" sortType="descending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dataField="1" showAll="0"/>
    <pivotField showAll="0"/>
    <pivotField showAll="0"/>
    <pivotField numFmtId="166" showAll="0"/>
  </pivotFields>
  <rowFields count="1">
    <field x="0"/>
  </rowFields>
  <rowItems count="10">
    <i>
      <x v="279"/>
    </i>
    <i>
      <x v="259"/>
    </i>
    <i>
      <x v="299"/>
    </i>
    <i>
      <x v="246"/>
    </i>
    <i>
      <x v="163"/>
    </i>
    <i>
      <x v="256"/>
    </i>
    <i>
      <x v="96"/>
    </i>
    <i>
      <x v="1"/>
    </i>
    <i>
      <x v="206"/>
    </i>
    <i>
      <x v="204"/>
    </i>
  </rowItems>
  <colItems count="1">
    <i/>
  </colItems>
  <dataFields count="1">
    <dataField name="Sum of Engagement" fld="1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1F678D-A859-4D58-9609-2FBEC7E68F4F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A83:C89" firstHeaderRow="0" firstDataRow="1" firstDataCol="1"/>
  <pivotFields count="18">
    <pivotField showAll="0"/>
    <pivotField showAll="0"/>
    <pivotField numFmtId="14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 sortType="descending">
      <items count="7">
        <item x="1"/>
        <item x="3"/>
        <item x="4"/>
        <item x="0"/>
        <item x="5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9" showAll="0"/>
    <pivotField dataField="1" numFmtId="1" showAll="0"/>
    <pivotField numFmtId="1" showAll="0"/>
    <pivotField showAll="0"/>
    <pivotField numFmtId="166" showAll="0"/>
  </pivotFields>
  <rowFields count="1">
    <field x="11"/>
  </rowFields>
  <rowItems count="6">
    <i>
      <x v="1"/>
    </i>
    <i>
      <x v="4"/>
    </i>
    <i>
      <x v="2"/>
    </i>
    <i>
      <x v="5"/>
    </i>
    <i>
      <x v="3"/>
    </i>
    <i>
      <x/>
    </i>
  </rowItems>
  <colFields count="1">
    <field x="-2"/>
  </colFields>
  <colItems count="2">
    <i>
      <x/>
    </i>
    <i i="1">
      <x v="1"/>
    </i>
  </colItems>
  <dataFields count="2">
    <dataField name="Average of Engagement" fld="14" subtotal="average" baseField="11" baseItem="0" numFmtId="1"/>
    <dataField name="Average of Impressions" fld="8" subtotal="average" baseField="11" baseItem="0" numFmtId="1"/>
  </dataFields>
  <formats count="1">
    <format dxfId="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E79415-0838-4E62-A4AD-46BAE378247C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5">
  <location ref="A3:B7" firstHeaderRow="1" firstDataRow="1" firstDataCol="1"/>
  <pivotFields count="18">
    <pivotField showAll="0"/>
    <pivotField axis="axisRow" showAll="0" sortType="descending">
      <items count="5">
        <item x="3"/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9" showAll="0"/>
    <pivotField showAll="0"/>
    <pivotField showAll="0"/>
    <pivotField showAll="0"/>
    <pivotField numFmtId="166" showAll="0"/>
  </pivotFields>
  <rowFields count="1">
    <field x="1"/>
  </rowFields>
  <rowItems count="4">
    <i>
      <x v="1"/>
    </i>
    <i>
      <x v="2"/>
    </i>
    <i>
      <x v="3"/>
    </i>
    <i>
      <x/>
    </i>
  </rowItems>
  <colItems count="1">
    <i/>
  </colItems>
  <dataFields count="1">
    <dataField name="Avg Engagement Rate" fld="13" subtotal="average" baseField="1" baseItem="1" numFmtId="9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F98078-77DA-400E-8C74-FA5568654B33}" name="PivotTable3" cacheId="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5">
  <location ref="A14:B18" firstHeaderRow="1" firstDataRow="1" firstDataCol="1"/>
  <pivotFields count="11">
    <pivotField numFmtId="1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axis="axisRow" showAll="0" sortType="descending">
      <items count="5">
        <item x="1"/>
        <item x="0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numFmtId="1" showAll="0"/>
    <pivotField dataField="1" numFmtId="10" showAll="0"/>
    <pivotField showAll="0"/>
  </pivotFields>
  <rowFields count="1">
    <field x="1"/>
  </rowFields>
  <rowItems count="4">
    <i>
      <x v="2"/>
    </i>
    <i>
      <x v="3"/>
    </i>
    <i>
      <x v="1"/>
    </i>
    <i>
      <x/>
    </i>
  </rowItems>
  <colItems count="1">
    <i/>
  </colItems>
  <dataFields count="1">
    <dataField name="Sum of Growth Rate" fld="9" baseField="0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22F6FD-008B-48D2-8C5E-5E5764909A4B}" name="PivotTable6" cacheId="0" applyNumberFormats="0" applyBorderFormats="0" applyFontFormats="0" applyPatternFormats="0" applyAlignmentFormats="0" applyWidthHeightFormats="1" dataCaption="Values" updatedVersion="8" minRefreshableVersion="3" rowGrandTotals="0" itemPrintTitles="1" createdVersion="8" indent="0" outline="1" outlineData="1" multipleFieldFilters="0" chartFormat="5">
  <location ref="A3:B7" firstHeaderRow="1" firstDataRow="1" firstDataCol="1"/>
  <pivotFields count="18">
    <pivotField showAll="0"/>
    <pivotField axis="axisRow" showAll="0" sortType="descending">
      <items count="5">
        <item x="3"/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dataField="1" showAll="0"/>
    <pivotField showAll="0"/>
    <pivotField showAll="0"/>
    <pivotField numFmtId="166" showAll="0"/>
  </pivotFields>
  <rowFields count="1">
    <field x="1"/>
  </rowFields>
  <rowItems count="4">
    <i>
      <x/>
    </i>
    <i>
      <x v="2"/>
    </i>
    <i>
      <x v="1"/>
    </i>
    <i>
      <x v="3"/>
    </i>
  </rowItems>
  <colItems count="1">
    <i/>
  </colItems>
  <dataFields count="1">
    <dataField name="Sum of Engagement" fld="1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11D6F2-F08E-41AA-8CE7-C784A39C71A1}" name="PivotTable8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5">
  <location ref="A25:C29" firstHeaderRow="0" firstDataRow="1" firstDataCol="1"/>
  <pivotFields count="18">
    <pivotField showAll="0"/>
    <pivotField axis="axisRow" showAll="0">
      <items count="5">
        <item x="3"/>
        <item x="2"/>
        <item x="0"/>
        <item x="1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dataField="1" showAll="0"/>
    <pivotField dataField="1" showAll="0"/>
    <pivotField showAll="0"/>
    <pivotField numFmtId="166" showAll="0"/>
  </pivotFields>
  <rowFields count="1">
    <field x="1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name="Average of Ad Spend" fld="15" subtotal="average" baseField="1" baseItem="0"/>
    <dataField name="Average of Engagement" fld="14" subtotal="average" baseField="1" baseItem="0"/>
  </dataFields>
  <formats count="1">
    <format dxfId="6">
      <pivotArea collapsedLevelsAreSubtotals="1" fieldPosition="0">
        <references count="2">
          <reference field="4294967294" count="1" selected="0">
            <x v="1"/>
          </reference>
          <reference field="1" count="0"/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C768A1-85B0-49FD-83B4-3A352A477D9D}" name="PivotTable9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5">
  <location ref="A3:B9" firstHeaderRow="1" firstDataRow="1" firstDataCol="1"/>
  <pivotFields count="18"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7">
        <item x="1"/>
        <item x="3"/>
        <item x="4"/>
        <item x="0"/>
        <item x="5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9" showAll="0"/>
    <pivotField showAll="0"/>
    <pivotField showAll="0"/>
    <pivotField showAll="0"/>
    <pivotField numFmtId="166" showAll="0"/>
  </pivotFields>
  <rowFields count="1">
    <field x="11"/>
  </rowFields>
  <rowItems count="6">
    <i>
      <x v="5"/>
    </i>
    <i>
      <x v="3"/>
    </i>
    <i>
      <x v="2"/>
    </i>
    <i>
      <x/>
    </i>
    <i>
      <x v="1"/>
    </i>
    <i>
      <x v="4"/>
    </i>
  </rowItems>
  <colItems count="1">
    <i/>
  </colItems>
  <dataFields count="1">
    <dataField name="Count of Hashtags Used" fld="1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56AB22-8D3E-4F96-9934-9461F34D090F}" name="PivotTable13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">
  <location ref="A40:G45" firstHeaderRow="1" firstDataRow="2" firstDataCol="1"/>
  <pivotFields count="18">
    <pivotField showAll="0"/>
    <pivotField axis="axisRow" showAll="0">
      <items count="5">
        <item x="3"/>
        <item x="2"/>
        <item x="0"/>
        <item x="1"/>
        <item t="default"/>
      </items>
    </pivotField>
    <pivotField numFmtId="14" showAll="0"/>
    <pivotField axis="axisCol" showAll="0">
      <items count="7">
        <item x="3"/>
        <item x="4"/>
        <item x="0"/>
        <item x="2"/>
        <item x="1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dataField="1" numFmtId="1" showAll="0"/>
    <pivotField numFmtId="1" showAll="0"/>
    <pivotField showAll="0"/>
    <pivotField numFmtId="166" showAll="0"/>
  </pivotFields>
  <rowFields count="1">
    <field x="1"/>
  </rowFields>
  <rowItems count="4">
    <i>
      <x/>
    </i>
    <i>
      <x v="1"/>
    </i>
    <i>
      <x v="2"/>
    </i>
    <i>
      <x v="3"/>
    </i>
  </rowItems>
  <colFields count="1">
    <field x="3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Average of Engagement" fld="14" subtotal="average" baseField="1" baseItem="0" numFmtId="1"/>
  </dataField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4B4DAB-773E-4A9D-8F9D-93F550A87C9B}" name="PivotTable1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5">
  <location ref="A28:B34" firstHeaderRow="1" firstDataRow="1" firstDataCol="1"/>
  <pivotFields count="18">
    <pivotField showAll="0"/>
    <pivotField showAll="0"/>
    <pivotField numFmtId="164" showAll="0"/>
    <pivotField axis="axisRow" showAll="0" sortType="descending">
      <items count="7">
        <item x="3"/>
        <item x="4"/>
        <item x="0"/>
        <item x="2"/>
        <item x="1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dataField="1" showAll="0"/>
    <pivotField showAll="0"/>
    <pivotField showAll="0"/>
    <pivotField numFmtId="166" showAll="0"/>
  </pivotFields>
  <rowFields count="1">
    <field x="3"/>
  </rowFields>
  <rowItems count="6">
    <i>
      <x v="3"/>
    </i>
    <i>
      <x v="2"/>
    </i>
    <i>
      <x v="5"/>
    </i>
    <i>
      <x v="4"/>
    </i>
    <i>
      <x v="1"/>
    </i>
    <i>
      <x/>
    </i>
  </rowItems>
  <colItems count="1">
    <i/>
  </colItems>
  <dataFields count="1">
    <dataField name="Average of Engagement" fld="14" subtotal="average" baseField="3" baseItem="0"/>
  </dataFields>
  <formats count="1">
    <format dxfId="4">
      <pivotArea collapsedLevelsAreSubtotals="1" fieldPosition="0">
        <references count="1">
          <reference field="3" count="0"/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4AC6BF-CB88-4A9D-9F81-AB4097ADDBBF}" name="PivotTable10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5">
  <location ref="A15:B21" firstHeaderRow="1" firstDataRow="1" firstDataCol="1"/>
  <pivotFields count="18"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7">
        <item x="1"/>
        <item x="3"/>
        <item x="4"/>
        <item x="0"/>
        <item x="5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9" showAll="0"/>
    <pivotField dataField="1" showAll="0"/>
    <pivotField showAll="0"/>
    <pivotField showAll="0"/>
    <pivotField numFmtId="166" showAll="0"/>
  </pivotFields>
  <rowFields count="1">
    <field x="11"/>
  </rowFields>
  <rowItems count="6">
    <i>
      <x v="1"/>
    </i>
    <i>
      <x v="4"/>
    </i>
    <i>
      <x v="2"/>
    </i>
    <i>
      <x v="5"/>
    </i>
    <i>
      <x v="3"/>
    </i>
    <i>
      <x/>
    </i>
  </rowItems>
  <colItems count="1">
    <i/>
  </colItems>
  <dataFields count="1">
    <dataField name="Average of Engagement" fld="14" subtotal="average" baseField="11" baseItem="0"/>
  </dataFields>
  <formats count="1">
    <format dxfId="5">
      <pivotArea collapsedLevelsAreSubtotals="1" fieldPosition="0">
        <references count="1">
          <reference field="11" count="0"/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731301-5CE9-4B47-A6CF-D722533FA993}" name="PivotTable6" cacheId="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A39:B43" firstHeaderRow="1" firstDataRow="1" firstDataCol="1"/>
  <pivotFields count="11">
    <pivotField numFmtId="1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" showAll="0"/>
    <pivotField dataField="1" numFmtId="10" showAll="0"/>
    <pivotField axis="axisRow" showAll="0" sortType="descending">
      <items count="6">
        <item x="2"/>
        <item x="3"/>
        <item x="1"/>
        <item h="1" x="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0"/>
  </rowFields>
  <rowItems count="4">
    <i>
      <x v="4"/>
    </i>
    <i>
      <x v="2"/>
    </i>
    <i>
      <x/>
    </i>
    <i>
      <x v="1"/>
    </i>
  </rowItems>
  <colItems count="1">
    <i/>
  </colItems>
  <dataFields count="1">
    <dataField name="Sum of Growth Rate" fld="9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FF6D09-CD90-4A33-906D-540DE29F048E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A27:B32" firstHeaderRow="1" firstDataRow="1" firstDataCol="1"/>
  <pivotFields count="18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0"/>
        <item x="2"/>
        <item x="1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9" showAll="0"/>
    <pivotField numFmtId="1" showAll="0"/>
    <pivotField numFmtId="1" showAll="0"/>
    <pivotField showAll="0"/>
    <pivotField dataField="1" numFmtId="166" showAll="0"/>
  </pivotFields>
  <rowFields count="1">
    <field x="12"/>
  </rowFields>
  <rowItems count="5">
    <i>
      <x/>
    </i>
    <i>
      <x v="2"/>
    </i>
    <i>
      <x v="1"/>
    </i>
    <i>
      <x v="3"/>
    </i>
    <i>
      <x v="4"/>
    </i>
  </rowItems>
  <colItems count="1">
    <i/>
  </colItems>
  <dataFields count="1">
    <dataField name="Average of ROI" fld="17" subtotal="average" baseField="12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4EFA82-2D02-448D-BAB6-C912E8BE1795}" name="PivotTable3" cacheId="2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A7:G11" firstHeaderRow="0" firstDataRow="1" firstDataCol="1"/>
  <pivotFields count="7">
    <pivotField axis="axisRow" showAll="0" sortType="descending">
      <items count="5">
        <item x="0"/>
        <item x="2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dataField="1" numFmtId="165" showAll="0"/>
    <pivotField dataField="1" showAll="0"/>
    <pivotField dataField="1" numFmtId="165" showAll="0"/>
    <pivotField dataField="1" showAll="0"/>
    <pivotField dataField="1" numFmtId="2" showAll="0"/>
  </pivotFields>
  <rowFields count="1">
    <field x="0"/>
  </rowFields>
  <rowItems count="4">
    <i>
      <x v="3"/>
    </i>
    <i>
      <x v="1"/>
    </i>
    <i>
      <x v="2"/>
    </i>
    <i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Total impressions" fld="1" baseField="0" baseItem="0"/>
    <dataField name="Sum of Avg Clicks" fld="6" baseField="0" baseItem="0" numFmtId="2"/>
    <dataField name="Sum of Avg Impressions" fld="2" baseField="0" baseItem="0" numFmtId="165"/>
    <dataField name="Sum of Total Likes" fld="3" baseField="0" baseItem="0"/>
    <dataField name="Sum of Total Clicks" fld="5" baseField="0" baseItem="0"/>
    <dataField name="Sum of Avg Likes" fld="4" baseField="0" baseItem="0" numFmtId="165"/>
  </dataFields>
  <conditionalFormats count="6">
    <conditionalFormat priority="6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5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  <conditionalFormat priority="4">
      <pivotAreas count="1">
        <pivotArea type="data" outline="0" collapsedLevelsAreSubtotals="1" fieldPosition="0">
          <references count="1">
            <reference field="4294967294" count="1" selected="0">
              <x v="2"/>
            </reference>
          </references>
        </pivotArea>
      </pivotAreas>
    </conditionalFormat>
    <conditionalFormat priority="3">
      <pivotAreas count="1">
        <pivotArea type="data" outline="0" collapsedLevelsAreSubtotals="1" fieldPosition="0">
          <references count="1">
            <reference field="4294967294" count="1" selected="0">
              <x v="3"/>
            </reference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4"/>
            </reference>
          </references>
        </pivotArea>
      </pivotAreas>
    </conditionalFormat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F828CC-C8AA-4B88-9A5A-2A89E4CE609D}" name="PivotTable7" cacheId="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7">
  <location ref="A3:B253" firstHeaderRow="1" firstDataRow="1" firstDataCol="1"/>
  <pivotFields count="11">
    <pivotField axis="axisRow" numFmtId="14" showAll="0" sortType="descending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5">
        <item x="1"/>
        <item x="0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numFmtId="1" showAll="0"/>
    <pivotField numFmtId="10" showAll="0"/>
    <pivotField showAll="0"/>
  </pivotFields>
  <rowFields count="2">
    <field x="0"/>
    <field x="1"/>
  </rowFields>
  <rowItems count="250">
    <i>
      <x v="30"/>
    </i>
    <i r="1">
      <x/>
    </i>
    <i r="1">
      <x v="1"/>
    </i>
    <i r="1">
      <x v="2"/>
    </i>
    <i r="1">
      <x v="3"/>
    </i>
    <i>
      <x v="36"/>
    </i>
    <i r="1">
      <x v="1"/>
    </i>
    <i r="1">
      <x v="3"/>
    </i>
    <i r="1">
      <x v="2"/>
    </i>
    <i r="1">
      <x/>
    </i>
    <i>
      <x v="28"/>
    </i>
    <i r="1">
      <x v="1"/>
    </i>
    <i r="1">
      <x/>
    </i>
    <i r="1">
      <x v="2"/>
    </i>
    <i r="1">
      <x v="3"/>
    </i>
    <i>
      <x v="38"/>
    </i>
    <i r="1">
      <x/>
    </i>
    <i r="1">
      <x v="1"/>
    </i>
    <i r="1">
      <x v="3"/>
    </i>
    <i r="1">
      <x v="2"/>
    </i>
    <i>
      <x v="26"/>
    </i>
    <i r="1">
      <x/>
    </i>
    <i r="1">
      <x v="1"/>
    </i>
    <i r="1">
      <x v="2"/>
    </i>
    <i r="1">
      <x v="3"/>
    </i>
    <i>
      <x v="27"/>
    </i>
    <i r="1">
      <x v="2"/>
    </i>
    <i r="1">
      <x/>
    </i>
    <i r="1">
      <x v="1"/>
    </i>
    <i r="1">
      <x v="3"/>
    </i>
    <i>
      <x v="48"/>
    </i>
    <i r="1">
      <x v="1"/>
    </i>
    <i r="1">
      <x v="2"/>
    </i>
    <i r="1">
      <x v="3"/>
    </i>
    <i r="1">
      <x/>
    </i>
    <i>
      <x v="22"/>
    </i>
    <i r="1">
      <x v="2"/>
    </i>
    <i r="1">
      <x v="1"/>
    </i>
    <i r="1">
      <x v="3"/>
    </i>
    <i r="1">
      <x/>
    </i>
    <i>
      <x v="14"/>
    </i>
    <i r="1">
      <x v="1"/>
    </i>
    <i r="1">
      <x/>
    </i>
    <i r="1">
      <x v="3"/>
    </i>
    <i r="1">
      <x v="2"/>
    </i>
    <i>
      <x v="43"/>
    </i>
    <i r="1">
      <x v="2"/>
    </i>
    <i r="1">
      <x v="3"/>
    </i>
    <i r="1">
      <x v="1"/>
    </i>
    <i r="1">
      <x/>
    </i>
    <i>
      <x v="41"/>
    </i>
    <i r="1">
      <x v="3"/>
    </i>
    <i r="1">
      <x/>
    </i>
    <i r="1">
      <x v="2"/>
    </i>
    <i r="1">
      <x v="1"/>
    </i>
    <i>
      <x v="46"/>
    </i>
    <i r="1">
      <x v="3"/>
    </i>
    <i r="1">
      <x/>
    </i>
    <i r="1">
      <x v="2"/>
    </i>
    <i r="1">
      <x v="1"/>
    </i>
    <i>
      <x v="25"/>
    </i>
    <i r="1">
      <x v="1"/>
    </i>
    <i r="1">
      <x/>
    </i>
    <i r="1">
      <x v="3"/>
    </i>
    <i r="1">
      <x v="2"/>
    </i>
    <i>
      <x v="29"/>
    </i>
    <i r="1">
      <x v="3"/>
    </i>
    <i r="1">
      <x v="2"/>
    </i>
    <i r="1">
      <x/>
    </i>
    <i r="1">
      <x v="1"/>
    </i>
    <i>
      <x v="2"/>
    </i>
    <i r="1">
      <x/>
    </i>
    <i r="1">
      <x v="2"/>
    </i>
    <i r="1">
      <x v="1"/>
    </i>
    <i r="1">
      <x v="3"/>
    </i>
    <i>
      <x v="18"/>
    </i>
    <i r="1">
      <x v="1"/>
    </i>
    <i r="1">
      <x/>
    </i>
    <i r="1">
      <x v="3"/>
    </i>
    <i r="1">
      <x v="2"/>
    </i>
    <i>
      <x v="10"/>
    </i>
    <i r="1">
      <x/>
    </i>
    <i r="1">
      <x v="1"/>
    </i>
    <i r="1">
      <x v="3"/>
    </i>
    <i r="1">
      <x v="2"/>
    </i>
    <i>
      <x v="40"/>
    </i>
    <i r="1">
      <x v="2"/>
    </i>
    <i r="1">
      <x v="3"/>
    </i>
    <i r="1">
      <x/>
    </i>
    <i r="1">
      <x v="1"/>
    </i>
    <i>
      <x v="37"/>
    </i>
    <i r="1">
      <x/>
    </i>
    <i r="1">
      <x v="3"/>
    </i>
    <i r="1">
      <x v="1"/>
    </i>
    <i r="1">
      <x v="2"/>
    </i>
    <i>
      <x v="33"/>
    </i>
    <i r="1">
      <x v="1"/>
    </i>
    <i r="1">
      <x v="2"/>
    </i>
    <i r="1">
      <x v="3"/>
    </i>
    <i r="1">
      <x/>
    </i>
    <i>
      <x v="47"/>
    </i>
    <i r="1">
      <x v="1"/>
    </i>
    <i r="1">
      <x v="2"/>
    </i>
    <i r="1">
      <x v="3"/>
    </i>
    <i r="1">
      <x/>
    </i>
    <i>
      <x v="31"/>
    </i>
    <i r="1">
      <x v="2"/>
    </i>
    <i r="1">
      <x v="1"/>
    </i>
    <i r="1">
      <x v="3"/>
    </i>
    <i r="1">
      <x/>
    </i>
    <i>
      <x/>
    </i>
    <i r="1">
      <x v="3"/>
    </i>
    <i r="1">
      <x v="1"/>
    </i>
    <i r="1">
      <x/>
    </i>
    <i r="1">
      <x v="2"/>
    </i>
    <i>
      <x v="34"/>
    </i>
    <i r="1">
      <x v="2"/>
    </i>
    <i r="1">
      <x v="3"/>
    </i>
    <i r="1">
      <x/>
    </i>
    <i r="1">
      <x v="1"/>
    </i>
    <i>
      <x v="16"/>
    </i>
    <i r="1">
      <x v="2"/>
    </i>
    <i r="1">
      <x v="3"/>
    </i>
    <i r="1">
      <x v="1"/>
    </i>
    <i r="1">
      <x/>
    </i>
    <i>
      <x v="17"/>
    </i>
    <i r="1">
      <x v="3"/>
    </i>
    <i r="1">
      <x v="1"/>
    </i>
    <i r="1">
      <x v="2"/>
    </i>
    <i r="1">
      <x/>
    </i>
    <i>
      <x v="5"/>
    </i>
    <i r="1">
      <x v="1"/>
    </i>
    <i r="1">
      <x v="2"/>
    </i>
    <i r="1">
      <x v="3"/>
    </i>
    <i r="1">
      <x/>
    </i>
    <i>
      <x v="3"/>
    </i>
    <i r="1">
      <x/>
    </i>
    <i r="1">
      <x v="2"/>
    </i>
    <i r="1">
      <x v="1"/>
    </i>
    <i r="1">
      <x v="3"/>
    </i>
    <i>
      <x v="11"/>
    </i>
    <i r="1">
      <x v="2"/>
    </i>
    <i r="1">
      <x/>
    </i>
    <i r="1">
      <x v="3"/>
    </i>
    <i r="1">
      <x v="1"/>
    </i>
    <i>
      <x v="1"/>
    </i>
    <i r="1">
      <x/>
    </i>
    <i r="1">
      <x v="3"/>
    </i>
    <i r="1">
      <x v="1"/>
    </i>
    <i r="1">
      <x v="2"/>
    </i>
    <i>
      <x v="12"/>
    </i>
    <i r="1">
      <x v="1"/>
    </i>
    <i r="1">
      <x v="2"/>
    </i>
    <i r="1">
      <x/>
    </i>
    <i r="1">
      <x v="3"/>
    </i>
    <i>
      <x v="13"/>
    </i>
    <i r="1">
      <x v="1"/>
    </i>
    <i r="1">
      <x/>
    </i>
    <i r="1">
      <x v="3"/>
    </i>
    <i r="1">
      <x v="2"/>
    </i>
    <i>
      <x v="20"/>
    </i>
    <i r="1">
      <x v="3"/>
    </i>
    <i r="1">
      <x v="2"/>
    </i>
    <i r="1">
      <x/>
    </i>
    <i r="1">
      <x v="1"/>
    </i>
    <i>
      <x v="32"/>
    </i>
    <i r="1">
      <x v="1"/>
    </i>
    <i r="1">
      <x v="3"/>
    </i>
    <i r="1">
      <x/>
    </i>
    <i r="1">
      <x v="2"/>
    </i>
    <i>
      <x v="7"/>
    </i>
    <i r="1">
      <x v="2"/>
    </i>
    <i r="1">
      <x/>
    </i>
    <i r="1">
      <x v="3"/>
    </i>
    <i r="1">
      <x v="1"/>
    </i>
    <i>
      <x v="21"/>
    </i>
    <i r="1">
      <x v="3"/>
    </i>
    <i r="1">
      <x v="1"/>
    </i>
    <i r="1">
      <x/>
    </i>
    <i r="1">
      <x v="2"/>
    </i>
    <i>
      <x v="44"/>
    </i>
    <i r="1">
      <x/>
    </i>
    <i r="1">
      <x v="2"/>
    </i>
    <i r="1">
      <x v="3"/>
    </i>
    <i r="1">
      <x v="1"/>
    </i>
    <i>
      <x v="39"/>
    </i>
    <i r="1">
      <x v="1"/>
    </i>
    <i r="1">
      <x v="2"/>
    </i>
    <i r="1">
      <x v="3"/>
    </i>
    <i r="1">
      <x/>
    </i>
    <i>
      <x v="23"/>
    </i>
    <i r="1">
      <x v="2"/>
    </i>
    <i r="1">
      <x v="1"/>
    </i>
    <i r="1">
      <x v="3"/>
    </i>
    <i r="1">
      <x/>
    </i>
    <i>
      <x v="6"/>
    </i>
    <i r="1">
      <x v="1"/>
    </i>
    <i r="1">
      <x v="2"/>
    </i>
    <i r="1">
      <x v="3"/>
    </i>
    <i r="1">
      <x/>
    </i>
    <i>
      <x v="35"/>
    </i>
    <i r="1">
      <x v="1"/>
    </i>
    <i r="1">
      <x/>
    </i>
    <i r="1">
      <x v="2"/>
    </i>
    <i r="1">
      <x v="3"/>
    </i>
    <i>
      <x v="8"/>
    </i>
    <i r="1">
      <x v="2"/>
    </i>
    <i r="1">
      <x v="1"/>
    </i>
    <i r="1">
      <x v="3"/>
    </i>
    <i r="1">
      <x/>
    </i>
    <i>
      <x v="49"/>
    </i>
    <i r="1">
      <x v="1"/>
    </i>
    <i r="1">
      <x/>
    </i>
    <i r="1">
      <x v="2"/>
    </i>
    <i r="1">
      <x v="3"/>
    </i>
    <i>
      <x v="19"/>
    </i>
    <i r="1">
      <x v="1"/>
    </i>
    <i r="1">
      <x v="3"/>
    </i>
    <i r="1">
      <x/>
    </i>
    <i r="1">
      <x v="2"/>
    </i>
    <i>
      <x v="42"/>
    </i>
    <i r="1">
      <x/>
    </i>
    <i r="1">
      <x v="1"/>
    </i>
    <i r="1">
      <x v="3"/>
    </i>
    <i r="1">
      <x v="2"/>
    </i>
    <i>
      <x v="15"/>
    </i>
    <i r="1">
      <x v="2"/>
    </i>
    <i r="1">
      <x v="1"/>
    </i>
    <i r="1">
      <x/>
    </i>
    <i r="1">
      <x v="3"/>
    </i>
    <i>
      <x v="4"/>
    </i>
    <i r="1">
      <x v="2"/>
    </i>
    <i r="1">
      <x v="3"/>
    </i>
    <i r="1">
      <x/>
    </i>
    <i r="1">
      <x v="1"/>
    </i>
    <i>
      <x v="9"/>
    </i>
    <i r="1">
      <x v="1"/>
    </i>
    <i r="1">
      <x v="2"/>
    </i>
    <i r="1">
      <x v="3"/>
    </i>
    <i r="1">
      <x/>
    </i>
    <i>
      <x v="24"/>
    </i>
    <i r="1">
      <x v="2"/>
    </i>
    <i r="1">
      <x/>
    </i>
    <i r="1">
      <x v="3"/>
    </i>
    <i r="1">
      <x v="1"/>
    </i>
    <i>
      <x v="45"/>
    </i>
    <i r="1">
      <x v="3"/>
    </i>
    <i r="1">
      <x v="2"/>
    </i>
    <i r="1">
      <x v="1"/>
    </i>
    <i r="1">
      <x/>
    </i>
  </rowItems>
  <colItems count="1">
    <i/>
  </colItems>
  <dataFields count="1">
    <dataField name="Sum of Net Growth Followers" fld="8" baseField="0" baseItem="0" numFmtId="1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E9BEA95E-3BF0-4674-BB25-44450782A747}" autoFormatId="16" applyNumberFormats="0" applyBorderFormats="0" applyFontFormats="0" applyPatternFormats="0" applyAlignmentFormats="0" applyWidthHeightFormats="0">
  <queryTableRefresh nextId="14">
    <queryTableFields count="13"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0" name="Reach" tableColumnId="10"/>
      <queryTableField id="11" name="Clicks" tableColumnId="11"/>
      <queryTableField id="12" name="Hashtags Used" tableColumnId="12"/>
      <queryTableField id="13" name="Campaign_Name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preserveFormatting="0" connectionId="2" xr16:uid="{6D4C0ABF-40C1-4AD0-99B5-DABBCB0201BC}" autoFormatId="1" applyNumberFormats="0" applyBorderFormats="1" applyFontFormats="1" applyPatternFormats="1" applyAlignmentFormats="1" applyWidthHeightFormats="0">
  <queryTableRefresh nextId="33" unboundColumnsRight="3">
    <queryTableFields count="10">
      <queryTableField id="1" name="Week_Start_Date" tableColumnId="1"/>
      <queryTableField id="12" dataBound="0" tableColumnId="11"/>
      <queryTableField id="3" name="New_Followers" tableColumnId="3"/>
      <queryTableField id="4" name="Unfollows" tableColumnId="4"/>
      <queryTableField id="5" name="Total_Followers" tableColumnId="5"/>
      <queryTableField id="6" name="Engagement_Rate" tableColumnId="6"/>
      <queryTableField id="7" name="Ad_Spend" tableColumnId="7"/>
      <queryTableField id="8" dataBound="0" tableColumnId="8"/>
      <queryTableField id="10" dataBound="0" tableColumnId="9"/>
      <queryTableField id="25" dataBound="0" tableColumnId="10"/>
    </queryTableFields>
    <queryTableDeletedFields count="7">
      <deletedField name="Platform"/>
      <deletedField name="Platform"/>
      <deletedField name="Platform"/>
      <deletedField name="Platform"/>
      <deletedField name="Platform"/>
      <deletedField name="Platform"/>
      <deletedField name="Platform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014A011-27FB-49FA-9DB5-BB9D0D7078C2}" autoFormatId="16" applyNumberFormats="0" applyBorderFormats="0" applyFontFormats="0" applyPatternFormats="0" applyAlignmentFormats="0" applyWidthHeightFormats="0">
  <queryTableRefresh nextId="8">
    <queryTableFields count="7">
      <queryTableField id="1" name="Campaign_Name" tableColumnId="1"/>
      <queryTableField id="2" name="Start_Date" tableColumnId="2"/>
      <queryTableField id="3" name="End_Date" tableColumnId="3"/>
      <queryTableField id="4" name="Objective" tableColumnId="4"/>
      <queryTableField id="5" name="Total_Budget" tableColumnId="5"/>
      <queryTableField id="6" name="Target_Platforms" tableColumnId="6"/>
      <queryTableField id="7" name="Primary_Hashtags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0C98AEB9-AAC8-4E45-883D-472FA881C236}" autoFormatId="16" applyNumberFormats="0" applyBorderFormats="0" applyFontFormats="0" applyPatternFormats="0" applyAlignmentFormats="0" applyWidthHeightFormats="0">
  <queryTableRefresh nextId="30" unboundColumnsRight="5">
    <queryTableFields count="18"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0" name="Reach" tableColumnId="10"/>
      <queryTableField id="11" name="Clicks" tableColumnId="11"/>
      <queryTableField id="12" name="Hashtags Used" tableColumnId="12"/>
      <queryTableField id="13" name="Campaign_Name" tableColumnId="13"/>
      <queryTableField id="14" dataBound="0" tableColumnId="14"/>
      <queryTableField id="15" dataBound="0" tableColumnId="15"/>
      <queryTableField id="17" dataBound="0" tableColumnId="16"/>
      <queryTableField id="25" dataBound="0" tableColumnId="17"/>
      <queryTableField id="27" dataBound="0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7CA5528-92C1-4106-B601-9F8B8D0F159E}" name="Posts" displayName="Posts" ref="A1:M340" tableType="queryTable" totalsRowShown="0">
  <autoFilter ref="A1:M340" xr:uid="{27CA5528-92C1-4106-B601-9F8B8D0F159E}"/>
  <tableColumns count="13">
    <tableColumn id="1" xr3:uid="{FD636478-DBFE-4835-87B0-9A710EDE8E57}" uniqueName="1" name="Post ID" queryTableFieldId="1" dataDxfId="39"/>
    <tableColumn id="2" xr3:uid="{90F8FB3C-9A16-43FF-B9C4-4C4B6DE97749}" uniqueName="2" name="Platform" queryTableFieldId="2" dataDxfId="38"/>
    <tableColumn id="3" xr3:uid="{488FE732-F1FE-46D9-9BE0-BBB83FD367D5}" uniqueName="3" name="Date" queryTableFieldId="3" dataDxfId="37"/>
    <tableColumn id="4" xr3:uid="{62ACE5AC-2AFF-414C-A161-F27F334C1A98}" uniqueName="4" name="Content Type" queryTableFieldId="4" dataDxfId="36"/>
    <tableColumn id="5" xr3:uid="{97327201-7709-4D8B-8FEF-9161D7A97180}" uniqueName="5" name="Post Text" queryTableFieldId="5" dataDxfId="35"/>
    <tableColumn id="6" xr3:uid="{23A88063-CA1D-48E1-A731-08FA4D776E17}" uniqueName="6" name="Likes" queryTableFieldId="6"/>
    <tableColumn id="7" xr3:uid="{939A8A32-44DF-449E-90FB-0E4D680CA32B}" uniqueName="7" name="Shares" queryTableFieldId="7"/>
    <tableColumn id="8" xr3:uid="{67BE6414-ABB7-452C-8D15-75BC495C11B1}" uniqueName="8" name="Comments" queryTableFieldId="8"/>
    <tableColumn id="9" xr3:uid="{615AA311-9BD8-4D28-9484-05A00F55C63E}" uniqueName="9" name="Impressions" queryTableFieldId="9"/>
    <tableColumn id="10" xr3:uid="{668E4FA6-9377-4D7A-A71C-1806E892440C}" uniqueName="10" name="Reach" queryTableFieldId="10"/>
    <tableColumn id="11" xr3:uid="{28FF82C1-95A5-4502-BD33-FB4737A7EC4D}" uniqueName="11" name="Clicks" queryTableFieldId="11"/>
    <tableColumn id="12" xr3:uid="{FC6EB292-8C5F-49B5-82C8-2E900C19210A}" uniqueName="12" name="Hashtags Used" queryTableFieldId="12" dataDxfId="34"/>
    <tableColumn id="13" xr3:uid="{1B29143D-2AA4-424C-98DA-3B1B4112907B}" uniqueName="13" name="Campaign_Name" queryTableFieldId="13" dataDxfId="3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508130-6C41-4AC0-A9BB-83A47F9FE8A9}" name="Engagement_Summary" displayName="Engagement_Summary" ref="A1:J201" tableType="queryTable" totalsRowShown="0">
  <autoFilter ref="A1:J201" xr:uid="{6B508130-6C41-4AC0-A9BB-83A47F9FE8A9}"/>
  <tableColumns count="10">
    <tableColumn id="1" xr3:uid="{E483D1E1-4CB0-474F-803D-31B7F28164DE}" uniqueName="1" name="Week_Start_Date" queryTableFieldId="1" dataDxfId="32"/>
    <tableColumn id="11" xr3:uid="{7E02A36C-FD8A-4ABB-A4C2-4149D05C1793}" uniqueName="11" name="Platform" queryTableFieldId="12" dataDxfId="31"/>
    <tableColumn id="3" xr3:uid="{B9A0479E-05F8-4E5B-8F54-8A624F8CA5B9}" uniqueName="3" name="New_Followers" queryTableFieldId="3"/>
    <tableColumn id="4" xr3:uid="{FB847090-BED4-4634-BD55-F62E70F57CC0}" uniqueName="4" name="Unfollows" queryTableFieldId="4"/>
    <tableColumn id="5" xr3:uid="{9F765248-B534-48F9-B43D-4DD67018FF07}" uniqueName="5" name="Total_Followers" queryTableFieldId="5"/>
    <tableColumn id="6" xr3:uid="{3D74A137-9939-403C-B210-0C42BBCE9D14}" uniqueName="6" name="Engagement_Rate" queryTableFieldId="6"/>
    <tableColumn id="7" xr3:uid="{3519A278-A072-4A37-BDD5-FD069C6A3C24}" uniqueName="7" name="Ad_Spend" queryTableFieldId="7"/>
    <tableColumn id="8" xr3:uid="{BBCFCD5D-F3AD-479E-8F53-9FEF9F85C965}" uniqueName="8" name="Net Growth Followers" queryTableFieldId="8" dataDxfId="30">
      <calculatedColumnFormula>Engagement_Summary[[#This Row],[New_Followers]]-Engagement_Summary[[#This Row],[Unfollows]]</calculatedColumnFormula>
    </tableColumn>
    <tableColumn id="9" xr3:uid="{856C3854-FD9E-49E3-8869-E9F443AC1206}" uniqueName="9" name="Growth Rate" queryTableFieldId="10" dataDxfId="29" dataCellStyle="Percent">
      <calculatedColumnFormula>Engagement_Summary[[#This Row],[Net Growth Followers]]/Engagement_Summary[[#This Row],[Total_Followers]]</calculatedColumnFormula>
    </tableColumn>
    <tableColumn id="10" xr3:uid="{5719FF0F-6805-4A1E-B72B-D3A28ABE36CA}" uniqueName="10" name="Campaign Name" queryTableFieldId="25" dataDxfId="28">
      <calculatedColumnFormula>_xlfn.XLOOKUP(Engagement_Summary[[#This Row],[Week_Start_Date]],Task1!C:C,Task1!M:M,"NA",-1)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A71933-D143-4423-BD1B-699CE8FE50F4}" name="Campaign_Metadata" displayName="Campaign_Metadata" ref="A1:G5" tableType="queryTable" totalsRowShown="0">
  <autoFilter ref="A1:G5" xr:uid="{82A71933-D143-4423-BD1B-699CE8FE50F4}"/>
  <tableColumns count="7">
    <tableColumn id="1" xr3:uid="{78018DE5-8820-43F5-A9E8-324FEBE039CD}" uniqueName="1" name="Campaign_Name" queryTableFieldId="1" dataDxfId="27"/>
    <tableColumn id="2" xr3:uid="{F1544C34-3715-49A5-82B3-F91691FA0B95}" uniqueName="2" name="Start_Date" queryTableFieldId="2" dataDxfId="26"/>
    <tableColumn id="3" xr3:uid="{90729DD4-F16F-480F-B3B3-82333A742040}" uniqueName="3" name="End_Date" queryTableFieldId="3" dataDxfId="25"/>
    <tableColumn id="4" xr3:uid="{FBE76C1A-600C-40A7-8B24-944F929C9E4B}" uniqueName="4" name="Objective" queryTableFieldId="4" dataDxfId="24"/>
    <tableColumn id="5" xr3:uid="{785FDC93-A72C-4114-AA11-38A63CA647A2}" uniqueName="5" name="Total_Budget" queryTableFieldId="5"/>
    <tableColumn id="6" xr3:uid="{82A2ECAB-BEAE-4E7F-BDA0-CA6D18BE93C8}" uniqueName="6" name="Target_Platforms" queryTableFieldId="6" dataDxfId="23"/>
    <tableColumn id="7" xr3:uid="{BECDA847-0D2D-4564-A5B9-D175BB6A94D2}" uniqueName="7" name="Primary_Hashtags" queryTableFieldId="7" dataDxfId="2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7BB76B5-612C-4FA9-82E3-C2F457552579}" name="Posts__2" displayName="Posts__2" ref="A1:R340" tableType="queryTable" totalsRowShown="0">
  <autoFilter ref="A1:R340" xr:uid="{67BB76B5-612C-4FA9-82E3-C2F457552579}"/>
  <tableColumns count="18">
    <tableColumn id="1" xr3:uid="{6DB10933-F7D9-4E82-BF6A-67BAD6AB8D68}" uniqueName="1" name="Post ID" queryTableFieldId="1" dataDxfId="21"/>
    <tableColumn id="2" xr3:uid="{F7BA4CE5-B7F5-430F-A1CE-49A9F65D77FE}" uniqueName="2" name="Platform" queryTableFieldId="2" dataDxfId="20"/>
    <tableColumn id="3" xr3:uid="{694427F3-AEE5-43EA-9FE7-18CA94D7AFBC}" uniqueName="3" name="Date" queryTableFieldId="3" dataDxfId="19"/>
    <tableColumn id="4" xr3:uid="{8D0CCC61-1061-437E-8BC0-346E61324DDD}" uniqueName="4" name="Content Type" queryTableFieldId="4" dataDxfId="18"/>
    <tableColumn id="5" xr3:uid="{CDC3C042-EECC-4890-9B4C-B84461BA1E97}" uniqueName="5" name="Post Text" queryTableFieldId="5" dataDxfId="17"/>
    <tableColumn id="6" xr3:uid="{22F53E6F-74D4-4212-85A9-E5C955E2FEF2}" uniqueName="6" name="Likes" queryTableFieldId="6"/>
    <tableColumn id="7" xr3:uid="{49FB160C-33FF-48D5-ADBF-1B17CD15552F}" uniqueName="7" name="Shares" queryTableFieldId="7"/>
    <tableColumn id="8" xr3:uid="{76E387B5-7B9A-4267-8815-D20AE0ED9D02}" uniqueName="8" name="Comments" queryTableFieldId="8"/>
    <tableColumn id="9" xr3:uid="{F2EE2592-96FF-4E79-8A51-0F5BFC1E5EDF}" uniqueName="9" name="Impressions" queryTableFieldId="9"/>
    <tableColumn id="10" xr3:uid="{DE44C902-2B70-4ABF-A597-8D56DD893742}" uniqueName="10" name="Reach" queryTableFieldId="10"/>
    <tableColumn id="11" xr3:uid="{9A53A77D-B38F-45A2-8AC2-37158511D212}" uniqueName="11" name="Clicks" queryTableFieldId="11"/>
    <tableColumn id="12" xr3:uid="{A5920203-1896-4DFA-84CC-7BED2E988308}" uniqueName="12" name="Hashtags Used" queryTableFieldId="12" dataDxfId="16"/>
    <tableColumn id="13" xr3:uid="{CAA62F86-C843-42C7-ACAB-906CAED4548D}" uniqueName="13" name="Campaign_Name" queryTableFieldId="13" dataDxfId="15"/>
    <tableColumn id="14" xr3:uid="{DE6AB7C7-8114-407F-A8AA-4834EA71559C}" uniqueName="14" name="Engagement Rate" queryTableFieldId="14" dataDxfId="14" dataCellStyle="Percent">
      <calculatedColumnFormula>(Posts__2[[#This Row],[Likes]]+Posts__2[[#This Row],[Shares]]+Posts__2[[#This Row],[Comments]])/Posts__2[[#This Row],[Impressions]]</calculatedColumnFormula>
    </tableColumn>
    <tableColumn id="15" xr3:uid="{6992646F-67F5-46CE-900A-9034C74DAC5E}" uniqueName="15" name="Engagement" queryTableFieldId="15" dataDxfId="13">
      <calculatedColumnFormula>Posts__2[[#This Row],[Likes]]+Posts__2[[#This Row],[Shares]]+Posts__2[[#This Row],[Comments]]</calculatedColumnFormula>
    </tableColumn>
    <tableColumn id="16" xr3:uid="{15DDE0E7-D0A2-436A-852C-9E38876CA1ED}" uniqueName="16" name="Ad Spend" queryTableFieldId="17" dataDxfId="12">
      <calculatedColumnFormula>_xlfn.XLOOKUP(Posts__2[[#This Row],[Platform]],'Engagement Summary'!B:B,'Engagement Summary'!G:G,"NA",0)</calculatedColumnFormula>
    </tableColumn>
    <tableColumn id="17" xr3:uid="{9DDEAF71-12A2-4F7D-ADB5-D321A7AA7398}" uniqueName="17" name="Period" queryTableFieldId="25" dataDxfId="11">
      <calculatedColumnFormula>IFERROR(IF(C2 &lt; _xlfn.XLOOKUP(M2, 'Campaign Metadata'!A:A, 'Campaign Metadata'!B:B), "Before", "During"), "Not Found")</calculatedColumnFormula>
    </tableColumn>
    <tableColumn id="19" xr3:uid="{15EC99BC-5B09-4B58-90C8-3E45464C9369}" uniqueName="19" name="ROI" queryTableFieldId="27" dataDxfId="10">
      <calculatedColumnFormula>Posts__2[[#This Row],[Engagement]]/Posts__2[[#This Row],[Ad Spend]]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4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1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5.xml"/><Relationship Id="rId2" Type="http://schemas.openxmlformats.org/officeDocument/2006/relationships/pivotTable" Target="../pivotTables/pivotTable14.xml"/><Relationship Id="rId1" Type="http://schemas.openxmlformats.org/officeDocument/2006/relationships/pivotTable" Target="../pivotTables/pivotTable1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3EB96-7A2E-4612-905C-9BDFF74BEE41}">
  <dimension ref="A1:M340"/>
  <sheetViews>
    <sheetView workbookViewId="0"/>
  </sheetViews>
  <sheetFormatPr defaultRowHeight="14.4" x14ac:dyDescent="0.3"/>
  <cols>
    <col min="1" max="1" width="9.109375" bestFit="1" customWidth="1"/>
    <col min="2" max="2" width="10.5546875" bestFit="1" customWidth="1"/>
    <col min="3" max="3" width="10.33203125" bestFit="1" customWidth="1"/>
    <col min="4" max="4" width="14.5546875" bestFit="1" customWidth="1"/>
    <col min="5" max="5" width="37" bestFit="1" customWidth="1"/>
    <col min="6" max="6" width="7.33203125" bestFit="1" customWidth="1"/>
    <col min="7" max="7" width="8.77734375" bestFit="1" customWidth="1"/>
    <col min="8" max="8" width="12.33203125" bestFit="1" customWidth="1"/>
    <col min="9" max="9" width="13.21875" bestFit="1" customWidth="1"/>
    <col min="10" max="10" width="8.33203125" bestFit="1" customWidth="1"/>
    <col min="11" max="11" width="7.88671875" bestFit="1" customWidth="1"/>
    <col min="12" max="12" width="20.21875" bestFit="1" customWidth="1"/>
    <col min="13" max="13" width="17.77734375" bestFit="1" customWidth="1"/>
  </cols>
  <sheetData>
    <row r="1" spans="1:13" x14ac:dyDescent="0.3">
      <c r="A1" t="s">
        <v>34</v>
      </c>
      <c r="B1" t="s">
        <v>24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0</v>
      </c>
    </row>
    <row r="2" spans="1:13" x14ac:dyDescent="0.3">
      <c r="A2" t="s">
        <v>45</v>
      </c>
      <c r="B2" t="s">
        <v>32</v>
      </c>
      <c r="C2" s="1">
        <v>45649</v>
      </c>
      <c r="D2" t="s">
        <v>46</v>
      </c>
      <c r="E2" t="s">
        <v>47</v>
      </c>
      <c r="F2">
        <v>1461</v>
      </c>
      <c r="G2">
        <v>184</v>
      </c>
      <c r="H2">
        <v>344</v>
      </c>
      <c r="I2">
        <v>21915</v>
      </c>
      <c r="J2">
        <v>21675</v>
      </c>
      <c r="K2">
        <v>15</v>
      </c>
      <c r="L2" t="s">
        <v>48</v>
      </c>
      <c r="M2" t="s">
        <v>7</v>
      </c>
    </row>
    <row r="3" spans="1:13" x14ac:dyDescent="0.3">
      <c r="A3" t="s">
        <v>45</v>
      </c>
      <c r="B3" t="s">
        <v>32</v>
      </c>
      <c r="C3" s="1">
        <v>45649</v>
      </c>
      <c r="D3" t="s">
        <v>46</v>
      </c>
      <c r="E3" t="s">
        <v>47</v>
      </c>
      <c r="F3">
        <v>1461</v>
      </c>
      <c r="G3">
        <v>184</v>
      </c>
      <c r="H3">
        <v>344</v>
      </c>
      <c r="I3">
        <v>21915</v>
      </c>
      <c r="J3">
        <v>21675</v>
      </c>
      <c r="K3">
        <v>15</v>
      </c>
      <c r="L3" t="s">
        <v>49</v>
      </c>
      <c r="M3" t="s">
        <v>7</v>
      </c>
    </row>
    <row r="4" spans="1:13" x14ac:dyDescent="0.3">
      <c r="A4" t="s">
        <v>50</v>
      </c>
      <c r="B4" t="s">
        <v>32</v>
      </c>
      <c r="C4" s="1">
        <v>45750</v>
      </c>
      <c r="D4" t="s">
        <v>51</v>
      </c>
      <c r="E4" t="s">
        <v>52</v>
      </c>
      <c r="F4">
        <v>4054</v>
      </c>
      <c r="G4">
        <v>389</v>
      </c>
      <c r="H4">
        <v>493</v>
      </c>
      <c r="I4">
        <v>64864</v>
      </c>
      <c r="J4">
        <v>64383</v>
      </c>
      <c r="K4">
        <v>117</v>
      </c>
      <c r="L4" t="s">
        <v>53</v>
      </c>
      <c r="M4" t="s">
        <v>11</v>
      </c>
    </row>
    <row r="5" spans="1:13" x14ac:dyDescent="0.3">
      <c r="A5" t="s">
        <v>50</v>
      </c>
      <c r="B5" t="s">
        <v>32</v>
      </c>
      <c r="C5" s="1">
        <v>45750</v>
      </c>
      <c r="D5" t="s">
        <v>51</v>
      </c>
      <c r="E5" t="s">
        <v>52</v>
      </c>
      <c r="F5">
        <v>4054</v>
      </c>
      <c r="G5">
        <v>389</v>
      </c>
      <c r="H5">
        <v>493</v>
      </c>
      <c r="I5">
        <v>64864</v>
      </c>
      <c r="J5">
        <v>64383</v>
      </c>
      <c r="K5">
        <v>117</v>
      </c>
      <c r="L5" t="s">
        <v>54</v>
      </c>
      <c r="M5" t="s">
        <v>11</v>
      </c>
    </row>
    <row r="6" spans="1:13" x14ac:dyDescent="0.3">
      <c r="A6" t="s">
        <v>55</v>
      </c>
      <c r="B6" t="s">
        <v>33</v>
      </c>
      <c r="C6" s="1">
        <v>45789</v>
      </c>
      <c r="D6" t="s">
        <v>46</v>
      </c>
      <c r="E6" t="s">
        <v>56</v>
      </c>
      <c r="F6">
        <v>2795</v>
      </c>
      <c r="G6">
        <v>105</v>
      </c>
      <c r="H6">
        <v>49</v>
      </c>
      <c r="I6">
        <v>53105</v>
      </c>
      <c r="J6">
        <v>52307</v>
      </c>
      <c r="K6">
        <v>204</v>
      </c>
      <c r="L6" t="s">
        <v>53</v>
      </c>
      <c r="M6" t="s">
        <v>15</v>
      </c>
    </row>
    <row r="7" spans="1:13" x14ac:dyDescent="0.3">
      <c r="A7" t="s">
        <v>57</v>
      </c>
      <c r="B7" t="s">
        <v>30</v>
      </c>
      <c r="C7" s="1">
        <v>45516</v>
      </c>
      <c r="D7" t="s">
        <v>58</v>
      </c>
      <c r="E7" t="s">
        <v>59</v>
      </c>
      <c r="F7">
        <v>2404</v>
      </c>
      <c r="G7">
        <v>363</v>
      </c>
      <c r="H7">
        <v>138</v>
      </c>
      <c r="I7">
        <v>19232</v>
      </c>
      <c r="J7">
        <v>18636</v>
      </c>
      <c r="K7">
        <v>128</v>
      </c>
      <c r="L7" t="s">
        <v>60</v>
      </c>
      <c r="M7" t="s">
        <v>19</v>
      </c>
    </row>
    <row r="8" spans="1:13" x14ac:dyDescent="0.3">
      <c r="A8" t="s">
        <v>61</v>
      </c>
      <c r="B8" t="s">
        <v>33</v>
      </c>
      <c r="C8" s="1">
        <v>45469</v>
      </c>
      <c r="D8" t="s">
        <v>46</v>
      </c>
      <c r="E8" t="s">
        <v>56</v>
      </c>
      <c r="F8">
        <v>3557</v>
      </c>
      <c r="G8">
        <v>687</v>
      </c>
      <c r="H8">
        <v>424</v>
      </c>
      <c r="I8">
        <v>71140</v>
      </c>
      <c r="J8">
        <v>70701</v>
      </c>
      <c r="K8">
        <v>224</v>
      </c>
      <c r="L8" t="s">
        <v>60</v>
      </c>
      <c r="M8" t="s">
        <v>7</v>
      </c>
    </row>
    <row r="9" spans="1:13" x14ac:dyDescent="0.3">
      <c r="A9" t="s">
        <v>61</v>
      </c>
      <c r="B9" t="s">
        <v>33</v>
      </c>
      <c r="C9" s="1">
        <v>45469</v>
      </c>
      <c r="D9" t="s">
        <v>46</v>
      </c>
      <c r="E9" t="s">
        <v>56</v>
      </c>
      <c r="F9">
        <v>3557</v>
      </c>
      <c r="G9">
        <v>687</v>
      </c>
      <c r="H9">
        <v>424</v>
      </c>
      <c r="I9">
        <v>71140</v>
      </c>
      <c r="J9">
        <v>70701</v>
      </c>
      <c r="K9">
        <v>224</v>
      </c>
      <c r="L9" t="s">
        <v>53</v>
      </c>
      <c r="M9" t="s">
        <v>7</v>
      </c>
    </row>
    <row r="10" spans="1:13" x14ac:dyDescent="0.3">
      <c r="A10" t="s">
        <v>62</v>
      </c>
      <c r="B10" t="s">
        <v>31</v>
      </c>
      <c r="C10" s="1">
        <v>45596</v>
      </c>
      <c r="D10" t="s">
        <v>63</v>
      </c>
      <c r="E10" t="s">
        <v>64</v>
      </c>
      <c r="F10">
        <v>2945</v>
      </c>
      <c r="G10">
        <v>930</v>
      </c>
      <c r="H10">
        <v>355</v>
      </c>
      <c r="I10">
        <v>23560</v>
      </c>
      <c r="J10">
        <v>23275</v>
      </c>
      <c r="K10">
        <v>256</v>
      </c>
      <c r="L10" t="s">
        <v>53</v>
      </c>
      <c r="M10" t="s">
        <v>11</v>
      </c>
    </row>
    <row r="11" spans="1:13" x14ac:dyDescent="0.3">
      <c r="A11" t="s">
        <v>65</v>
      </c>
      <c r="B11" t="s">
        <v>32</v>
      </c>
      <c r="C11" s="1">
        <v>45467</v>
      </c>
      <c r="D11" t="s">
        <v>63</v>
      </c>
      <c r="E11" t="s">
        <v>66</v>
      </c>
      <c r="F11">
        <v>3860</v>
      </c>
      <c r="G11">
        <v>201</v>
      </c>
      <c r="H11">
        <v>279</v>
      </c>
      <c r="I11">
        <v>61760</v>
      </c>
      <c r="J11">
        <v>61660</v>
      </c>
      <c r="K11">
        <v>235</v>
      </c>
      <c r="L11" t="s">
        <v>53</v>
      </c>
      <c r="M11" t="s">
        <v>11</v>
      </c>
    </row>
    <row r="12" spans="1:13" x14ac:dyDescent="0.3">
      <c r="A12" t="s">
        <v>67</v>
      </c>
      <c r="B12" t="s">
        <v>33</v>
      </c>
      <c r="C12" s="1">
        <v>45486</v>
      </c>
      <c r="D12" t="s">
        <v>68</v>
      </c>
      <c r="E12" t="s">
        <v>69</v>
      </c>
      <c r="F12">
        <v>3929</v>
      </c>
      <c r="G12">
        <v>262</v>
      </c>
      <c r="H12">
        <v>278</v>
      </c>
      <c r="I12">
        <v>43219</v>
      </c>
      <c r="J12">
        <v>42841</v>
      </c>
      <c r="K12">
        <v>39</v>
      </c>
      <c r="L12" t="s">
        <v>60</v>
      </c>
      <c r="M12" t="s">
        <v>19</v>
      </c>
    </row>
    <row r="13" spans="1:13" x14ac:dyDescent="0.3">
      <c r="A13" t="s">
        <v>70</v>
      </c>
      <c r="B13" t="s">
        <v>31</v>
      </c>
      <c r="C13" s="1">
        <v>45534</v>
      </c>
      <c r="D13" t="s">
        <v>51</v>
      </c>
      <c r="E13" t="s">
        <v>71</v>
      </c>
      <c r="F13">
        <v>3784</v>
      </c>
      <c r="G13">
        <v>808</v>
      </c>
      <c r="H13">
        <v>404</v>
      </c>
      <c r="I13">
        <v>56760</v>
      </c>
      <c r="J13">
        <v>56343</v>
      </c>
      <c r="K13">
        <v>131</v>
      </c>
      <c r="L13" t="s">
        <v>53</v>
      </c>
      <c r="M13" t="s">
        <v>11</v>
      </c>
    </row>
    <row r="14" spans="1:13" x14ac:dyDescent="0.3">
      <c r="A14" t="s">
        <v>72</v>
      </c>
      <c r="B14" t="s">
        <v>31</v>
      </c>
      <c r="C14" s="1">
        <v>45727</v>
      </c>
      <c r="D14" t="s">
        <v>68</v>
      </c>
      <c r="E14" t="s">
        <v>73</v>
      </c>
      <c r="F14">
        <v>4241</v>
      </c>
      <c r="G14">
        <v>902</v>
      </c>
      <c r="H14">
        <v>47</v>
      </c>
      <c r="I14">
        <v>72097</v>
      </c>
      <c r="J14">
        <v>71598</v>
      </c>
      <c r="K14">
        <v>167</v>
      </c>
      <c r="L14" t="s">
        <v>53</v>
      </c>
      <c r="M14" t="s">
        <v>11</v>
      </c>
    </row>
    <row r="15" spans="1:13" x14ac:dyDescent="0.3">
      <c r="A15" t="s">
        <v>74</v>
      </c>
      <c r="B15" t="s">
        <v>30</v>
      </c>
      <c r="C15" s="1">
        <v>45690</v>
      </c>
      <c r="D15" t="s">
        <v>58</v>
      </c>
      <c r="E15" t="s">
        <v>59</v>
      </c>
      <c r="F15">
        <v>1792</v>
      </c>
      <c r="G15">
        <v>614</v>
      </c>
      <c r="H15">
        <v>497</v>
      </c>
      <c r="I15">
        <v>25088</v>
      </c>
      <c r="J15">
        <v>24675</v>
      </c>
      <c r="K15">
        <v>65</v>
      </c>
      <c r="L15" t="s">
        <v>48</v>
      </c>
      <c r="M15" t="s">
        <v>19</v>
      </c>
    </row>
    <row r="16" spans="1:13" x14ac:dyDescent="0.3">
      <c r="A16" t="s">
        <v>75</v>
      </c>
      <c r="B16" t="s">
        <v>31</v>
      </c>
      <c r="C16" s="1">
        <v>45494</v>
      </c>
      <c r="D16" t="s">
        <v>46</v>
      </c>
      <c r="E16" t="s">
        <v>76</v>
      </c>
      <c r="F16">
        <v>1946</v>
      </c>
      <c r="G16">
        <v>686</v>
      </c>
      <c r="H16">
        <v>377</v>
      </c>
      <c r="I16">
        <v>23352</v>
      </c>
      <c r="J16">
        <v>22982</v>
      </c>
      <c r="K16">
        <v>213</v>
      </c>
      <c r="L16" t="s">
        <v>48</v>
      </c>
      <c r="M16" t="s">
        <v>15</v>
      </c>
    </row>
    <row r="17" spans="1:13" x14ac:dyDescent="0.3">
      <c r="A17" t="s">
        <v>77</v>
      </c>
      <c r="B17" t="s">
        <v>33</v>
      </c>
      <c r="C17" s="1">
        <v>45614</v>
      </c>
      <c r="D17" t="s">
        <v>63</v>
      </c>
      <c r="E17" t="s">
        <v>78</v>
      </c>
      <c r="F17">
        <v>1171</v>
      </c>
      <c r="G17">
        <v>286</v>
      </c>
      <c r="H17">
        <v>231</v>
      </c>
      <c r="I17">
        <v>22249</v>
      </c>
      <c r="J17">
        <v>21282</v>
      </c>
      <c r="K17">
        <v>114</v>
      </c>
      <c r="L17" t="s">
        <v>60</v>
      </c>
      <c r="M17" t="s">
        <v>7</v>
      </c>
    </row>
    <row r="18" spans="1:13" x14ac:dyDescent="0.3">
      <c r="A18" t="s">
        <v>79</v>
      </c>
      <c r="B18" t="s">
        <v>31</v>
      </c>
      <c r="C18" s="1">
        <v>45704</v>
      </c>
      <c r="D18" t="s">
        <v>58</v>
      </c>
      <c r="E18" t="s">
        <v>80</v>
      </c>
      <c r="F18">
        <v>4242</v>
      </c>
      <c r="G18">
        <v>555</v>
      </c>
      <c r="H18">
        <v>131</v>
      </c>
      <c r="I18">
        <v>33936</v>
      </c>
      <c r="J18">
        <v>33802</v>
      </c>
      <c r="K18">
        <v>265</v>
      </c>
      <c r="L18" t="s">
        <v>48</v>
      </c>
    </row>
    <row r="19" spans="1:13" x14ac:dyDescent="0.3">
      <c r="A19" t="s">
        <v>81</v>
      </c>
      <c r="B19" t="s">
        <v>31</v>
      </c>
      <c r="C19" s="1">
        <v>45589</v>
      </c>
      <c r="D19" t="s">
        <v>82</v>
      </c>
      <c r="E19" t="s">
        <v>83</v>
      </c>
      <c r="F19">
        <v>3888</v>
      </c>
      <c r="G19">
        <v>604</v>
      </c>
      <c r="H19">
        <v>128</v>
      </c>
      <c r="I19">
        <v>77760</v>
      </c>
      <c r="J19">
        <v>77167</v>
      </c>
      <c r="K19">
        <v>20</v>
      </c>
      <c r="L19" t="s">
        <v>48</v>
      </c>
      <c r="M19" t="s">
        <v>7</v>
      </c>
    </row>
    <row r="20" spans="1:13" x14ac:dyDescent="0.3">
      <c r="A20" t="s">
        <v>84</v>
      </c>
      <c r="B20" t="s">
        <v>31</v>
      </c>
      <c r="C20" s="1">
        <v>45530</v>
      </c>
      <c r="D20" t="s">
        <v>51</v>
      </c>
      <c r="E20" t="s">
        <v>71</v>
      </c>
      <c r="F20">
        <v>3452</v>
      </c>
      <c r="G20">
        <v>377</v>
      </c>
      <c r="H20">
        <v>360</v>
      </c>
      <c r="I20">
        <v>55232</v>
      </c>
      <c r="J20">
        <v>55075</v>
      </c>
      <c r="K20">
        <v>87</v>
      </c>
      <c r="L20" t="s">
        <v>48</v>
      </c>
      <c r="M20" t="s">
        <v>15</v>
      </c>
    </row>
    <row r="21" spans="1:13" x14ac:dyDescent="0.3">
      <c r="A21" t="s">
        <v>85</v>
      </c>
      <c r="B21" t="s">
        <v>31</v>
      </c>
      <c r="C21" s="1">
        <v>45782</v>
      </c>
      <c r="D21" t="s">
        <v>51</v>
      </c>
      <c r="E21" t="s">
        <v>71</v>
      </c>
      <c r="F21">
        <v>4441</v>
      </c>
      <c r="G21">
        <v>511</v>
      </c>
      <c r="H21">
        <v>70</v>
      </c>
      <c r="I21">
        <v>53292</v>
      </c>
      <c r="J21">
        <v>53082</v>
      </c>
      <c r="K21">
        <v>159</v>
      </c>
      <c r="L21" t="s">
        <v>60</v>
      </c>
      <c r="M21" t="s">
        <v>19</v>
      </c>
    </row>
    <row r="22" spans="1:13" x14ac:dyDescent="0.3">
      <c r="A22" t="s">
        <v>86</v>
      </c>
      <c r="B22" t="s">
        <v>30</v>
      </c>
      <c r="C22" s="1">
        <v>45523</v>
      </c>
      <c r="D22" t="s">
        <v>46</v>
      </c>
      <c r="E22" t="s">
        <v>87</v>
      </c>
      <c r="F22">
        <v>3000</v>
      </c>
      <c r="G22">
        <v>382</v>
      </c>
      <c r="H22">
        <v>325</v>
      </c>
      <c r="I22">
        <v>36000</v>
      </c>
      <c r="J22">
        <v>35819</v>
      </c>
      <c r="K22">
        <v>19</v>
      </c>
      <c r="L22" t="s">
        <v>48</v>
      </c>
      <c r="M22" t="s">
        <v>7</v>
      </c>
    </row>
    <row r="23" spans="1:13" x14ac:dyDescent="0.3">
      <c r="A23" t="s">
        <v>88</v>
      </c>
      <c r="B23" t="s">
        <v>30</v>
      </c>
      <c r="C23" s="1">
        <v>45466</v>
      </c>
      <c r="D23" t="s">
        <v>82</v>
      </c>
      <c r="E23" t="s">
        <v>89</v>
      </c>
      <c r="F23">
        <v>1071</v>
      </c>
      <c r="G23">
        <v>519</v>
      </c>
      <c r="H23">
        <v>22</v>
      </c>
      <c r="I23">
        <v>16065</v>
      </c>
      <c r="J23">
        <v>15865</v>
      </c>
      <c r="K23">
        <v>103</v>
      </c>
      <c r="L23" t="s">
        <v>53</v>
      </c>
      <c r="M23" t="s">
        <v>19</v>
      </c>
    </row>
    <row r="24" spans="1:13" x14ac:dyDescent="0.3">
      <c r="A24" t="s">
        <v>90</v>
      </c>
      <c r="B24" t="s">
        <v>30</v>
      </c>
      <c r="C24" s="1">
        <v>45544</v>
      </c>
      <c r="D24" t="s">
        <v>63</v>
      </c>
      <c r="E24" t="s">
        <v>91</v>
      </c>
      <c r="F24">
        <v>4054</v>
      </c>
      <c r="G24">
        <v>488</v>
      </c>
      <c r="H24">
        <v>373</v>
      </c>
      <c r="I24">
        <v>77026</v>
      </c>
      <c r="J24">
        <v>76881</v>
      </c>
      <c r="K24">
        <v>25</v>
      </c>
      <c r="L24" t="s">
        <v>53</v>
      </c>
      <c r="M24" t="s">
        <v>7</v>
      </c>
    </row>
    <row r="25" spans="1:13" x14ac:dyDescent="0.3">
      <c r="A25" t="s">
        <v>92</v>
      </c>
      <c r="B25" t="s">
        <v>30</v>
      </c>
      <c r="C25" s="1">
        <v>45661</v>
      </c>
      <c r="D25" t="s">
        <v>46</v>
      </c>
      <c r="E25" t="s">
        <v>87</v>
      </c>
      <c r="F25">
        <v>4838</v>
      </c>
      <c r="G25">
        <v>640</v>
      </c>
      <c r="H25">
        <v>128</v>
      </c>
      <c r="I25">
        <v>72570</v>
      </c>
      <c r="J25">
        <v>72396</v>
      </c>
      <c r="K25">
        <v>83</v>
      </c>
      <c r="L25" t="s">
        <v>48</v>
      </c>
      <c r="M25" t="s">
        <v>19</v>
      </c>
    </row>
    <row r="26" spans="1:13" x14ac:dyDescent="0.3">
      <c r="A26" t="s">
        <v>93</v>
      </c>
      <c r="B26" t="s">
        <v>31</v>
      </c>
      <c r="C26" s="1">
        <v>45715</v>
      </c>
      <c r="D26" t="s">
        <v>51</v>
      </c>
      <c r="E26" t="s">
        <v>71</v>
      </c>
      <c r="F26">
        <v>1570</v>
      </c>
      <c r="G26">
        <v>187</v>
      </c>
      <c r="H26">
        <v>260</v>
      </c>
      <c r="I26">
        <v>25120</v>
      </c>
      <c r="J26">
        <v>24613</v>
      </c>
      <c r="K26">
        <v>133</v>
      </c>
      <c r="L26" t="s">
        <v>53</v>
      </c>
      <c r="M26" t="s">
        <v>19</v>
      </c>
    </row>
    <row r="27" spans="1:13" x14ac:dyDescent="0.3">
      <c r="A27" t="s">
        <v>94</v>
      </c>
      <c r="B27" t="s">
        <v>31</v>
      </c>
      <c r="C27" s="1">
        <v>45602</v>
      </c>
      <c r="D27" t="s">
        <v>82</v>
      </c>
      <c r="E27" t="s">
        <v>83</v>
      </c>
      <c r="F27">
        <v>1606</v>
      </c>
      <c r="G27">
        <v>547</v>
      </c>
      <c r="H27">
        <v>316</v>
      </c>
      <c r="I27">
        <v>32120</v>
      </c>
      <c r="J27">
        <v>31736</v>
      </c>
      <c r="K27">
        <v>225</v>
      </c>
      <c r="L27" t="s">
        <v>53</v>
      </c>
      <c r="M27" t="s">
        <v>11</v>
      </c>
    </row>
    <row r="28" spans="1:13" x14ac:dyDescent="0.3">
      <c r="A28" t="s">
        <v>94</v>
      </c>
      <c r="B28" t="s">
        <v>31</v>
      </c>
      <c r="C28" s="1">
        <v>45602</v>
      </c>
      <c r="D28" t="s">
        <v>82</v>
      </c>
      <c r="E28" t="s">
        <v>83</v>
      </c>
      <c r="F28">
        <v>1606</v>
      </c>
      <c r="G28">
        <v>547</v>
      </c>
      <c r="H28">
        <v>316</v>
      </c>
      <c r="I28">
        <v>32120</v>
      </c>
      <c r="J28">
        <v>31736</v>
      </c>
      <c r="K28">
        <v>225</v>
      </c>
      <c r="L28" t="s">
        <v>49</v>
      </c>
      <c r="M28" t="s">
        <v>11</v>
      </c>
    </row>
    <row r="29" spans="1:13" x14ac:dyDescent="0.3">
      <c r="A29" t="s">
        <v>95</v>
      </c>
      <c r="B29" t="s">
        <v>31</v>
      </c>
      <c r="C29" s="1">
        <v>45680</v>
      </c>
      <c r="D29" t="s">
        <v>82</v>
      </c>
      <c r="E29" t="s">
        <v>83</v>
      </c>
      <c r="F29">
        <v>3961</v>
      </c>
      <c r="G29">
        <v>761</v>
      </c>
      <c r="H29">
        <v>131</v>
      </c>
      <c r="I29">
        <v>67337</v>
      </c>
      <c r="J29">
        <v>66615</v>
      </c>
      <c r="K29">
        <v>161</v>
      </c>
      <c r="L29" t="s">
        <v>48</v>
      </c>
      <c r="M29" t="s">
        <v>15</v>
      </c>
    </row>
    <row r="30" spans="1:13" x14ac:dyDescent="0.3">
      <c r="A30" t="s">
        <v>96</v>
      </c>
      <c r="B30" t="s">
        <v>32</v>
      </c>
      <c r="C30" s="1">
        <v>45757</v>
      </c>
      <c r="D30" t="s">
        <v>63</v>
      </c>
      <c r="E30" t="s">
        <v>66</v>
      </c>
      <c r="F30">
        <v>3128</v>
      </c>
      <c r="G30">
        <v>211</v>
      </c>
      <c r="H30">
        <v>197</v>
      </c>
      <c r="I30">
        <v>59432</v>
      </c>
      <c r="J30">
        <v>59182</v>
      </c>
      <c r="K30">
        <v>238</v>
      </c>
      <c r="L30" t="s">
        <v>60</v>
      </c>
    </row>
    <row r="31" spans="1:13" x14ac:dyDescent="0.3">
      <c r="A31" t="s">
        <v>97</v>
      </c>
      <c r="B31" t="s">
        <v>33</v>
      </c>
      <c r="C31" s="1">
        <v>45752</v>
      </c>
      <c r="D31" t="s">
        <v>46</v>
      </c>
      <c r="E31" t="s">
        <v>56</v>
      </c>
      <c r="F31">
        <v>3009</v>
      </c>
      <c r="G31">
        <v>413</v>
      </c>
      <c r="H31">
        <v>358</v>
      </c>
      <c r="I31">
        <v>42126</v>
      </c>
      <c r="J31">
        <v>41309</v>
      </c>
      <c r="K31">
        <v>211</v>
      </c>
      <c r="L31" t="s">
        <v>48</v>
      </c>
      <c r="M31" t="s">
        <v>11</v>
      </c>
    </row>
    <row r="32" spans="1:13" x14ac:dyDescent="0.3">
      <c r="A32" t="s">
        <v>98</v>
      </c>
      <c r="B32" t="s">
        <v>33</v>
      </c>
      <c r="C32" s="1">
        <v>45552</v>
      </c>
      <c r="D32" t="s">
        <v>51</v>
      </c>
      <c r="E32" t="s">
        <v>99</v>
      </c>
      <c r="F32">
        <v>2076</v>
      </c>
      <c r="G32">
        <v>195</v>
      </c>
      <c r="H32">
        <v>104</v>
      </c>
      <c r="I32">
        <v>33216</v>
      </c>
      <c r="J32">
        <v>32244</v>
      </c>
      <c r="K32">
        <v>51</v>
      </c>
      <c r="L32" t="s">
        <v>48</v>
      </c>
      <c r="M32" t="s">
        <v>19</v>
      </c>
    </row>
    <row r="33" spans="1:13" x14ac:dyDescent="0.3">
      <c r="A33" t="s">
        <v>100</v>
      </c>
      <c r="B33" t="s">
        <v>30</v>
      </c>
      <c r="C33" s="1">
        <v>45720</v>
      </c>
      <c r="D33" t="s">
        <v>82</v>
      </c>
      <c r="E33" t="s">
        <v>89</v>
      </c>
      <c r="F33">
        <v>432</v>
      </c>
      <c r="G33">
        <v>624</v>
      </c>
      <c r="H33">
        <v>123</v>
      </c>
      <c r="I33">
        <v>6912</v>
      </c>
      <c r="J33">
        <v>6259</v>
      </c>
      <c r="K33">
        <v>79</v>
      </c>
      <c r="L33" t="s">
        <v>48</v>
      </c>
      <c r="M33" t="s">
        <v>19</v>
      </c>
    </row>
    <row r="34" spans="1:13" x14ac:dyDescent="0.3">
      <c r="A34" t="s">
        <v>101</v>
      </c>
      <c r="B34" t="s">
        <v>30</v>
      </c>
      <c r="C34" s="1">
        <v>45688</v>
      </c>
      <c r="D34" t="s">
        <v>63</v>
      </c>
      <c r="E34" t="s">
        <v>91</v>
      </c>
      <c r="F34">
        <v>2566</v>
      </c>
      <c r="G34">
        <v>118</v>
      </c>
      <c r="H34">
        <v>37</v>
      </c>
      <c r="I34">
        <v>12830</v>
      </c>
      <c r="J34">
        <v>12264</v>
      </c>
      <c r="K34">
        <v>221</v>
      </c>
      <c r="L34" t="s">
        <v>48</v>
      </c>
      <c r="M34" t="s">
        <v>15</v>
      </c>
    </row>
    <row r="35" spans="1:13" x14ac:dyDescent="0.3">
      <c r="A35" t="s">
        <v>102</v>
      </c>
      <c r="B35" t="s">
        <v>30</v>
      </c>
      <c r="C35" s="1">
        <v>45713</v>
      </c>
      <c r="D35" t="s">
        <v>82</v>
      </c>
      <c r="E35" t="s">
        <v>89</v>
      </c>
      <c r="F35">
        <v>3095</v>
      </c>
      <c r="G35">
        <v>39</v>
      </c>
      <c r="H35">
        <v>78</v>
      </c>
      <c r="I35">
        <v>55710</v>
      </c>
      <c r="J35">
        <v>54808</v>
      </c>
      <c r="K35">
        <v>93</v>
      </c>
      <c r="L35" t="s">
        <v>60</v>
      </c>
    </row>
    <row r="36" spans="1:13" x14ac:dyDescent="0.3">
      <c r="A36" t="s">
        <v>103</v>
      </c>
      <c r="B36" t="s">
        <v>30</v>
      </c>
      <c r="C36" s="1">
        <v>45642</v>
      </c>
      <c r="D36" t="s">
        <v>51</v>
      </c>
      <c r="E36" t="s">
        <v>104</v>
      </c>
      <c r="F36">
        <v>438</v>
      </c>
      <c r="G36">
        <v>153</v>
      </c>
      <c r="H36">
        <v>275</v>
      </c>
      <c r="I36">
        <v>3066</v>
      </c>
      <c r="J36">
        <v>2701</v>
      </c>
      <c r="K36">
        <v>282</v>
      </c>
      <c r="L36" t="s">
        <v>53</v>
      </c>
      <c r="M36" t="s">
        <v>11</v>
      </c>
    </row>
    <row r="37" spans="1:13" x14ac:dyDescent="0.3">
      <c r="A37" t="s">
        <v>105</v>
      </c>
      <c r="B37" t="s">
        <v>32</v>
      </c>
      <c r="C37" s="1">
        <v>45504</v>
      </c>
      <c r="D37" t="s">
        <v>63</v>
      </c>
      <c r="E37" t="s">
        <v>66</v>
      </c>
      <c r="F37">
        <v>2278</v>
      </c>
      <c r="G37">
        <v>10</v>
      </c>
      <c r="H37">
        <v>321</v>
      </c>
      <c r="I37">
        <v>13668</v>
      </c>
      <c r="J37">
        <v>12676</v>
      </c>
      <c r="K37">
        <v>275</v>
      </c>
      <c r="L37" t="s">
        <v>60</v>
      </c>
      <c r="M37" t="s">
        <v>7</v>
      </c>
    </row>
    <row r="38" spans="1:13" x14ac:dyDescent="0.3">
      <c r="A38" t="s">
        <v>106</v>
      </c>
      <c r="B38" t="s">
        <v>31</v>
      </c>
      <c r="C38" s="1">
        <v>45525</v>
      </c>
      <c r="D38" t="s">
        <v>68</v>
      </c>
      <c r="E38" t="s">
        <v>73</v>
      </c>
      <c r="F38">
        <v>1407</v>
      </c>
      <c r="G38">
        <v>400</v>
      </c>
      <c r="H38">
        <v>351</v>
      </c>
      <c r="I38">
        <v>16884</v>
      </c>
      <c r="J38">
        <v>15954</v>
      </c>
      <c r="K38">
        <v>113</v>
      </c>
      <c r="L38" t="s">
        <v>53</v>
      </c>
      <c r="M38" t="s">
        <v>7</v>
      </c>
    </row>
    <row r="39" spans="1:13" x14ac:dyDescent="0.3">
      <c r="A39" t="s">
        <v>107</v>
      </c>
      <c r="B39" t="s">
        <v>31</v>
      </c>
      <c r="C39" s="1">
        <v>45742</v>
      </c>
      <c r="D39" t="s">
        <v>51</v>
      </c>
      <c r="E39" t="s">
        <v>71</v>
      </c>
      <c r="F39">
        <v>1652</v>
      </c>
      <c r="G39">
        <v>89</v>
      </c>
      <c r="H39">
        <v>357</v>
      </c>
      <c r="I39">
        <v>29736</v>
      </c>
      <c r="J39">
        <v>28771</v>
      </c>
      <c r="K39">
        <v>215</v>
      </c>
      <c r="L39" t="s">
        <v>53</v>
      </c>
      <c r="M39" t="s">
        <v>15</v>
      </c>
    </row>
    <row r="40" spans="1:13" x14ac:dyDescent="0.3">
      <c r="A40" t="s">
        <v>108</v>
      </c>
      <c r="B40" t="s">
        <v>30</v>
      </c>
      <c r="C40" s="1">
        <v>45626</v>
      </c>
      <c r="D40" t="s">
        <v>82</v>
      </c>
      <c r="E40" t="s">
        <v>89</v>
      </c>
      <c r="F40">
        <v>3775</v>
      </c>
      <c r="G40">
        <v>16</v>
      </c>
      <c r="H40">
        <v>239</v>
      </c>
      <c r="I40">
        <v>33975</v>
      </c>
      <c r="J40">
        <v>33310</v>
      </c>
      <c r="K40">
        <v>271</v>
      </c>
      <c r="L40" t="s">
        <v>48</v>
      </c>
      <c r="M40" t="s">
        <v>11</v>
      </c>
    </row>
    <row r="41" spans="1:13" x14ac:dyDescent="0.3">
      <c r="A41" t="s">
        <v>109</v>
      </c>
      <c r="B41" t="s">
        <v>30</v>
      </c>
      <c r="C41" s="1">
        <v>45766</v>
      </c>
      <c r="D41" t="s">
        <v>58</v>
      </c>
      <c r="E41" t="s">
        <v>59</v>
      </c>
      <c r="F41">
        <v>4518</v>
      </c>
      <c r="G41">
        <v>285</v>
      </c>
      <c r="H41">
        <v>383</v>
      </c>
      <c r="I41">
        <v>67770</v>
      </c>
      <c r="J41">
        <v>67621</v>
      </c>
      <c r="K41">
        <v>31</v>
      </c>
      <c r="L41" t="s">
        <v>60</v>
      </c>
      <c r="M41" t="s">
        <v>11</v>
      </c>
    </row>
    <row r="42" spans="1:13" x14ac:dyDescent="0.3">
      <c r="A42" t="s">
        <v>110</v>
      </c>
      <c r="B42" t="s">
        <v>31</v>
      </c>
      <c r="C42" s="1">
        <v>45663</v>
      </c>
      <c r="D42" t="s">
        <v>63</v>
      </c>
      <c r="E42" t="s">
        <v>64</v>
      </c>
      <c r="F42">
        <v>3024</v>
      </c>
      <c r="G42">
        <v>925</v>
      </c>
      <c r="H42">
        <v>350</v>
      </c>
      <c r="I42">
        <v>24192</v>
      </c>
      <c r="J42">
        <v>23518</v>
      </c>
      <c r="K42">
        <v>36</v>
      </c>
      <c r="L42" t="s">
        <v>60</v>
      </c>
      <c r="M42" t="s">
        <v>11</v>
      </c>
    </row>
    <row r="43" spans="1:13" x14ac:dyDescent="0.3">
      <c r="A43" t="s">
        <v>111</v>
      </c>
      <c r="B43" t="s">
        <v>33</v>
      </c>
      <c r="C43" s="1">
        <v>45705</v>
      </c>
      <c r="D43" t="s">
        <v>46</v>
      </c>
      <c r="E43" t="s">
        <v>56</v>
      </c>
      <c r="F43">
        <v>3138</v>
      </c>
      <c r="G43">
        <v>123</v>
      </c>
      <c r="H43">
        <v>291</v>
      </c>
      <c r="I43">
        <v>28242</v>
      </c>
      <c r="J43">
        <v>27550</v>
      </c>
      <c r="K43">
        <v>87</v>
      </c>
      <c r="L43" t="s">
        <v>53</v>
      </c>
      <c r="M43" t="s">
        <v>19</v>
      </c>
    </row>
    <row r="44" spans="1:13" x14ac:dyDescent="0.3">
      <c r="A44" t="s">
        <v>112</v>
      </c>
      <c r="B44" t="s">
        <v>31</v>
      </c>
      <c r="C44" s="1">
        <v>45621</v>
      </c>
      <c r="D44" t="s">
        <v>68</v>
      </c>
      <c r="E44" t="s">
        <v>73</v>
      </c>
      <c r="F44">
        <v>3564</v>
      </c>
      <c r="G44">
        <v>629</v>
      </c>
      <c r="H44">
        <v>177</v>
      </c>
      <c r="I44">
        <v>60588</v>
      </c>
      <c r="J44">
        <v>59627</v>
      </c>
      <c r="K44">
        <v>92</v>
      </c>
      <c r="L44" t="s">
        <v>53</v>
      </c>
    </row>
    <row r="45" spans="1:13" x14ac:dyDescent="0.3">
      <c r="A45" t="s">
        <v>113</v>
      </c>
      <c r="B45" t="s">
        <v>32</v>
      </c>
      <c r="C45" s="1">
        <v>45723</v>
      </c>
      <c r="D45" t="s">
        <v>68</v>
      </c>
      <c r="E45" t="s">
        <v>114</v>
      </c>
      <c r="F45">
        <v>4750</v>
      </c>
      <c r="G45">
        <v>151</v>
      </c>
      <c r="H45">
        <v>415</v>
      </c>
      <c r="I45">
        <v>38000</v>
      </c>
      <c r="J45">
        <v>37792</v>
      </c>
      <c r="K45">
        <v>299</v>
      </c>
      <c r="L45" t="s">
        <v>60</v>
      </c>
      <c r="M45" t="s">
        <v>19</v>
      </c>
    </row>
    <row r="46" spans="1:13" x14ac:dyDescent="0.3">
      <c r="A46" t="s">
        <v>115</v>
      </c>
      <c r="B46" t="s">
        <v>30</v>
      </c>
      <c r="C46" s="1">
        <v>45724</v>
      </c>
      <c r="D46" t="s">
        <v>46</v>
      </c>
      <c r="E46" t="s">
        <v>87</v>
      </c>
      <c r="F46">
        <v>456</v>
      </c>
      <c r="G46">
        <v>629</v>
      </c>
      <c r="H46">
        <v>428</v>
      </c>
      <c r="I46">
        <v>8208</v>
      </c>
      <c r="J46">
        <v>7377</v>
      </c>
      <c r="K46">
        <v>205</v>
      </c>
      <c r="L46" t="s">
        <v>48</v>
      </c>
      <c r="M46" t="s">
        <v>19</v>
      </c>
    </row>
    <row r="47" spans="1:13" x14ac:dyDescent="0.3">
      <c r="A47" t="s">
        <v>116</v>
      </c>
      <c r="B47" t="s">
        <v>33</v>
      </c>
      <c r="C47" s="1">
        <v>45721</v>
      </c>
      <c r="D47" t="s">
        <v>46</v>
      </c>
      <c r="E47" t="s">
        <v>56</v>
      </c>
      <c r="F47">
        <v>1543</v>
      </c>
      <c r="G47">
        <v>820</v>
      </c>
      <c r="H47">
        <v>333</v>
      </c>
      <c r="I47">
        <v>12344</v>
      </c>
      <c r="J47">
        <v>11496</v>
      </c>
      <c r="K47">
        <v>241</v>
      </c>
      <c r="L47" t="s">
        <v>60</v>
      </c>
    </row>
    <row r="48" spans="1:13" x14ac:dyDescent="0.3">
      <c r="A48" t="s">
        <v>117</v>
      </c>
      <c r="B48" t="s">
        <v>30</v>
      </c>
      <c r="C48" s="1">
        <v>45640</v>
      </c>
      <c r="D48" t="s">
        <v>63</v>
      </c>
      <c r="E48" t="s">
        <v>91</v>
      </c>
      <c r="F48">
        <v>2174</v>
      </c>
      <c r="G48">
        <v>658</v>
      </c>
      <c r="H48">
        <v>15</v>
      </c>
      <c r="I48">
        <v>13044</v>
      </c>
      <c r="J48">
        <v>12206</v>
      </c>
      <c r="K48">
        <v>137</v>
      </c>
      <c r="L48" t="s">
        <v>53</v>
      </c>
      <c r="M48" t="s">
        <v>15</v>
      </c>
    </row>
    <row r="49" spans="1:13" x14ac:dyDescent="0.3">
      <c r="A49" t="s">
        <v>118</v>
      </c>
      <c r="B49" t="s">
        <v>32</v>
      </c>
      <c r="C49" s="1">
        <v>45718</v>
      </c>
      <c r="D49" t="s">
        <v>68</v>
      </c>
      <c r="E49" t="s">
        <v>114</v>
      </c>
      <c r="F49">
        <v>2358</v>
      </c>
      <c r="G49">
        <v>784</v>
      </c>
      <c r="H49">
        <v>344</v>
      </c>
      <c r="I49">
        <v>35370</v>
      </c>
      <c r="J49">
        <v>34475</v>
      </c>
      <c r="K49">
        <v>216</v>
      </c>
      <c r="L49" t="s">
        <v>53</v>
      </c>
    </row>
    <row r="50" spans="1:13" x14ac:dyDescent="0.3">
      <c r="A50" t="s">
        <v>119</v>
      </c>
      <c r="B50" t="s">
        <v>31</v>
      </c>
      <c r="C50" s="1">
        <v>45597</v>
      </c>
      <c r="D50" t="s">
        <v>82</v>
      </c>
      <c r="E50" t="s">
        <v>83</v>
      </c>
      <c r="F50">
        <v>3371</v>
      </c>
      <c r="G50">
        <v>106</v>
      </c>
      <c r="H50">
        <v>327</v>
      </c>
      <c r="I50">
        <v>50565</v>
      </c>
      <c r="J50">
        <v>49816</v>
      </c>
      <c r="K50">
        <v>176</v>
      </c>
      <c r="L50" t="s">
        <v>48</v>
      </c>
      <c r="M50" t="s">
        <v>7</v>
      </c>
    </row>
    <row r="51" spans="1:13" x14ac:dyDescent="0.3">
      <c r="A51" t="s">
        <v>120</v>
      </c>
      <c r="B51" t="s">
        <v>32</v>
      </c>
      <c r="C51" s="1">
        <v>45779</v>
      </c>
      <c r="D51" t="s">
        <v>82</v>
      </c>
      <c r="E51" t="s">
        <v>121</v>
      </c>
      <c r="F51">
        <v>1108</v>
      </c>
      <c r="G51">
        <v>177</v>
      </c>
      <c r="H51">
        <v>212</v>
      </c>
      <c r="I51">
        <v>8864</v>
      </c>
      <c r="J51">
        <v>8710</v>
      </c>
      <c r="K51">
        <v>97</v>
      </c>
      <c r="L51" t="s">
        <v>53</v>
      </c>
      <c r="M51" t="s">
        <v>19</v>
      </c>
    </row>
    <row r="52" spans="1:13" x14ac:dyDescent="0.3">
      <c r="A52" t="s">
        <v>122</v>
      </c>
      <c r="B52" t="s">
        <v>32</v>
      </c>
      <c r="C52" s="1">
        <v>45712</v>
      </c>
      <c r="D52" t="s">
        <v>63</v>
      </c>
      <c r="E52" t="s">
        <v>66</v>
      </c>
      <c r="F52">
        <v>2704</v>
      </c>
      <c r="G52">
        <v>752</v>
      </c>
      <c r="H52">
        <v>153</v>
      </c>
      <c r="I52">
        <v>21632</v>
      </c>
      <c r="J52">
        <v>20792</v>
      </c>
      <c r="K52">
        <v>127</v>
      </c>
      <c r="L52" t="s">
        <v>48</v>
      </c>
    </row>
    <row r="53" spans="1:13" x14ac:dyDescent="0.3">
      <c r="A53" t="s">
        <v>123</v>
      </c>
      <c r="B53" t="s">
        <v>32</v>
      </c>
      <c r="C53" s="1">
        <v>45727</v>
      </c>
      <c r="D53" t="s">
        <v>58</v>
      </c>
      <c r="E53" t="s">
        <v>124</v>
      </c>
      <c r="F53">
        <v>1950</v>
      </c>
      <c r="G53">
        <v>295</v>
      </c>
      <c r="H53">
        <v>478</v>
      </c>
      <c r="I53">
        <v>37050</v>
      </c>
      <c r="J53">
        <v>36272</v>
      </c>
      <c r="K53">
        <v>119</v>
      </c>
      <c r="L53" t="s">
        <v>53</v>
      </c>
    </row>
    <row r="54" spans="1:13" x14ac:dyDescent="0.3">
      <c r="A54" t="s">
        <v>125</v>
      </c>
      <c r="B54" t="s">
        <v>32</v>
      </c>
      <c r="C54" s="1">
        <v>45453</v>
      </c>
      <c r="D54" t="s">
        <v>58</v>
      </c>
      <c r="E54" t="s">
        <v>124</v>
      </c>
      <c r="F54">
        <v>2164</v>
      </c>
      <c r="G54">
        <v>549</v>
      </c>
      <c r="H54">
        <v>274</v>
      </c>
      <c r="I54">
        <v>28132</v>
      </c>
      <c r="J54">
        <v>27361</v>
      </c>
      <c r="K54">
        <v>177</v>
      </c>
      <c r="L54" t="s">
        <v>53</v>
      </c>
      <c r="M54" t="s">
        <v>19</v>
      </c>
    </row>
    <row r="55" spans="1:13" x14ac:dyDescent="0.3">
      <c r="A55" t="s">
        <v>126</v>
      </c>
      <c r="B55" t="s">
        <v>33</v>
      </c>
      <c r="C55" s="1">
        <v>45476</v>
      </c>
      <c r="D55" t="s">
        <v>58</v>
      </c>
      <c r="E55" t="s">
        <v>127</v>
      </c>
      <c r="F55">
        <v>2754</v>
      </c>
      <c r="G55">
        <v>130</v>
      </c>
      <c r="H55">
        <v>90</v>
      </c>
      <c r="I55">
        <v>22032</v>
      </c>
      <c r="J55">
        <v>21288</v>
      </c>
      <c r="K55">
        <v>112</v>
      </c>
      <c r="L55" t="s">
        <v>53</v>
      </c>
      <c r="M55" t="s">
        <v>15</v>
      </c>
    </row>
    <row r="56" spans="1:13" x14ac:dyDescent="0.3">
      <c r="A56" t="s">
        <v>128</v>
      </c>
      <c r="B56" t="s">
        <v>31</v>
      </c>
      <c r="C56" s="1">
        <v>45456</v>
      </c>
      <c r="D56" t="s">
        <v>63</v>
      </c>
      <c r="E56" t="s">
        <v>64</v>
      </c>
      <c r="F56">
        <v>2200</v>
      </c>
      <c r="G56">
        <v>504</v>
      </c>
      <c r="H56">
        <v>239</v>
      </c>
      <c r="I56">
        <v>37400</v>
      </c>
      <c r="J56">
        <v>36938</v>
      </c>
      <c r="K56">
        <v>225</v>
      </c>
      <c r="L56" t="s">
        <v>48</v>
      </c>
      <c r="M56" t="s">
        <v>11</v>
      </c>
    </row>
    <row r="57" spans="1:13" x14ac:dyDescent="0.3">
      <c r="A57" t="s">
        <v>129</v>
      </c>
      <c r="B57" t="s">
        <v>31</v>
      </c>
      <c r="C57" s="1">
        <v>45660</v>
      </c>
      <c r="D57" t="s">
        <v>68</v>
      </c>
      <c r="E57" t="s">
        <v>73</v>
      </c>
      <c r="F57">
        <v>947</v>
      </c>
      <c r="G57">
        <v>338</v>
      </c>
      <c r="H57">
        <v>350</v>
      </c>
      <c r="I57">
        <v>10417</v>
      </c>
      <c r="J57">
        <v>9730</v>
      </c>
      <c r="K57">
        <v>34</v>
      </c>
      <c r="L57" t="s">
        <v>53</v>
      </c>
      <c r="M57" t="s">
        <v>19</v>
      </c>
    </row>
    <row r="58" spans="1:13" x14ac:dyDescent="0.3">
      <c r="A58" t="s">
        <v>130</v>
      </c>
      <c r="B58" t="s">
        <v>33</v>
      </c>
      <c r="C58" s="1">
        <v>45712</v>
      </c>
      <c r="D58" t="s">
        <v>63</v>
      </c>
      <c r="E58" t="s">
        <v>78</v>
      </c>
      <c r="F58">
        <v>804</v>
      </c>
      <c r="G58">
        <v>639</v>
      </c>
      <c r="H58">
        <v>43</v>
      </c>
      <c r="I58">
        <v>4020</v>
      </c>
      <c r="J58">
        <v>3144</v>
      </c>
      <c r="K58">
        <v>11</v>
      </c>
      <c r="L58" t="s">
        <v>60</v>
      </c>
    </row>
    <row r="59" spans="1:13" x14ac:dyDescent="0.3">
      <c r="A59" t="s">
        <v>130</v>
      </c>
      <c r="B59" t="s">
        <v>33</v>
      </c>
      <c r="C59" s="1">
        <v>45712</v>
      </c>
      <c r="D59" t="s">
        <v>63</v>
      </c>
      <c r="E59" t="s">
        <v>78</v>
      </c>
      <c r="F59">
        <v>804</v>
      </c>
      <c r="G59">
        <v>639</v>
      </c>
      <c r="H59">
        <v>43</v>
      </c>
      <c r="I59">
        <v>4020</v>
      </c>
      <c r="J59">
        <v>3144</v>
      </c>
      <c r="K59">
        <v>11</v>
      </c>
      <c r="L59" t="s">
        <v>54</v>
      </c>
    </row>
    <row r="60" spans="1:13" x14ac:dyDescent="0.3">
      <c r="A60" t="s">
        <v>131</v>
      </c>
      <c r="B60" t="s">
        <v>33</v>
      </c>
      <c r="C60" s="1">
        <v>45729</v>
      </c>
      <c r="D60" t="s">
        <v>63</v>
      </c>
      <c r="E60" t="s">
        <v>78</v>
      </c>
      <c r="F60">
        <v>1686</v>
      </c>
      <c r="G60">
        <v>904</v>
      </c>
      <c r="H60">
        <v>472</v>
      </c>
      <c r="I60">
        <v>18546</v>
      </c>
      <c r="J60">
        <v>18171</v>
      </c>
      <c r="K60">
        <v>52</v>
      </c>
      <c r="L60" t="s">
        <v>48</v>
      </c>
      <c r="M60" t="s">
        <v>11</v>
      </c>
    </row>
    <row r="61" spans="1:13" x14ac:dyDescent="0.3">
      <c r="A61" t="s">
        <v>132</v>
      </c>
      <c r="B61" t="s">
        <v>31</v>
      </c>
      <c r="C61" s="1">
        <v>45460</v>
      </c>
      <c r="D61" t="s">
        <v>68</v>
      </c>
      <c r="E61" t="s">
        <v>73</v>
      </c>
      <c r="F61">
        <v>1226</v>
      </c>
      <c r="G61">
        <v>119</v>
      </c>
      <c r="H61">
        <v>7</v>
      </c>
      <c r="I61">
        <v>14712</v>
      </c>
      <c r="J61">
        <v>14049</v>
      </c>
      <c r="K61">
        <v>123</v>
      </c>
      <c r="L61" t="s">
        <v>60</v>
      </c>
      <c r="M61" t="s">
        <v>19</v>
      </c>
    </row>
    <row r="62" spans="1:13" x14ac:dyDescent="0.3">
      <c r="A62" t="s">
        <v>133</v>
      </c>
      <c r="B62" t="s">
        <v>31</v>
      </c>
      <c r="C62" s="1">
        <v>45644</v>
      </c>
      <c r="D62" t="s">
        <v>63</v>
      </c>
      <c r="E62" t="s">
        <v>64</v>
      </c>
      <c r="F62">
        <v>2946</v>
      </c>
      <c r="G62">
        <v>498</v>
      </c>
      <c r="H62">
        <v>367</v>
      </c>
      <c r="I62">
        <v>29460</v>
      </c>
      <c r="J62">
        <v>28527</v>
      </c>
      <c r="K62">
        <v>60</v>
      </c>
      <c r="L62" t="s">
        <v>48</v>
      </c>
      <c r="M62" t="s">
        <v>15</v>
      </c>
    </row>
    <row r="63" spans="1:13" x14ac:dyDescent="0.3">
      <c r="A63" t="s">
        <v>134</v>
      </c>
      <c r="B63" t="s">
        <v>32</v>
      </c>
      <c r="C63" s="1">
        <v>45586</v>
      </c>
      <c r="D63" t="s">
        <v>82</v>
      </c>
      <c r="E63" t="s">
        <v>121</v>
      </c>
      <c r="F63">
        <v>2825</v>
      </c>
      <c r="G63">
        <v>535</v>
      </c>
      <c r="H63">
        <v>295</v>
      </c>
      <c r="I63">
        <v>45200</v>
      </c>
      <c r="J63">
        <v>44739</v>
      </c>
      <c r="K63">
        <v>169</v>
      </c>
      <c r="L63" t="s">
        <v>53</v>
      </c>
      <c r="M63" t="s">
        <v>7</v>
      </c>
    </row>
    <row r="64" spans="1:13" x14ac:dyDescent="0.3">
      <c r="A64" t="s">
        <v>135</v>
      </c>
      <c r="B64" t="s">
        <v>30</v>
      </c>
      <c r="C64" s="1">
        <v>45762</v>
      </c>
      <c r="D64" t="s">
        <v>46</v>
      </c>
      <c r="E64" t="s">
        <v>87</v>
      </c>
      <c r="F64">
        <v>103</v>
      </c>
      <c r="G64">
        <v>770</v>
      </c>
      <c r="H64">
        <v>19</v>
      </c>
      <c r="I64">
        <v>1030</v>
      </c>
      <c r="J64">
        <v>410</v>
      </c>
      <c r="K64">
        <v>262</v>
      </c>
      <c r="L64" t="s">
        <v>53</v>
      </c>
      <c r="M64" t="s">
        <v>19</v>
      </c>
    </row>
    <row r="65" spans="1:13" x14ac:dyDescent="0.3">
      <c r="A65" t="s">
        <v>136</v>
      </c>
      <c r="B65" t="s">
        <v>30</v>
      </c>
      <c r="C65" s="1">
        <v>45465</v>
      </c>
      <c r="D65" t="s">
        <v>51</v>
      </c>
      <c r="E65" t="s">
        <v>104</v>
      </c>
      <c r="F65">
        <v>2180</v>
      </c>
      <c r="G65">
        <v>263</v>
      </c>
      <c r="H65">
        <v>387</v>
      </c>
      <c r="I65">
        <v>30520</v>
      </c>
      <c r="J65">
        <v>30059</v>
      </c>
      <c r="K65">
        <v>174</v>
      </c>
      <c r="L65" t="s">
        <v>60</v>
      </c>
    </row>
    <row r="66" spans="1:13" x14ac:dyDescent="0.3">
      <c r="A66" t="s">
        <v>137</v>
      </c>
      <c r="B66" t="s">
        <v>30</v>
      </c>
      <c r="C66" s="1">
        <v>45685</v>
      </c>
      <c r="D66" t="s">
        <v>82</v>
      </c>
      <c r="E66" t="s">
        <v>89</v>
      </c>
      <c r="F66">
        <v>904</v>
      </c>
      <c r="G66">
        <v>973</v>
      </c>
      <c r="H66">
        <v>63</v>
      </c>
      <c r="I66">
        <v>11752</v>
      </c>
      <c r="J66">
        <v>11580</v>
      </c>
      <c r="K66">
        <v>84</v>
      </c>
      <c r="L66" t="s">
        <v>60</v>
      </c>
      <c r="M66" t="s">
        <v>15</v>
      </c>
    </row>
    <row r="67" spans="1:13" x14ac:dyDescent="0.3">
      <c r="A67" t="s">
        <v>137</v>
      </c>
      <c r="B67" t="s">
        <v>30</v>
      </c>
      <c r="C67" s="1">
        <v>45685</v>
      </c>
      <c r="D67" t="s">
        <v>82</v>
      </c>
      <c r="E67" t="s">
        <v>89</v>
      </c>
      <c r="F67">
        <v>904</v>
      </c>
      <c r="G67">
        <v>973</v>
      </c>
      <c r="H67">
        <v>63</v>
      </c>
      <c r="I67">
        <v>11752</v>
      </c>
      <c r="J67">
        <v>11580</v>
      </c>
      <c r="K67">
        <v>84</v>
      </c>
      <c r="L67" t="s">
        <v>53</v>
      </c>
      <c r="M67" t="s">
        <v>15</v>
      </c>
    </row>
    <row r="68" spans="1:13" x14ac:dyDescent="0.3">
      <c r="A68" t="s">
        <v>137</v>
      </c>
      <c r="B68" t="s">
        <v>30</v>
      </c>
      <c r="C68" s="1">
        <v>45685</v>
      </c>
      <c r="D68" t="s">
        <v>82</v>
      </c>
      <c r="E68" t="s">
        <v>89</v>
      </c>
      <c r="F68">
        <v>904</v>
      </c>
      <c r="G68">
        <v>973</v>
      </c>
      <c r="H68">
        <v>63</v>
      </c>
      <c r="I68">
        <v>11752</v>
      </c>
      <c r="J68">
        <v>11580</v>
      </c>
      <c r="K68">
        <v>84</v>
      </c>
      <c r="L68" t="s">
        <v>49</v>
      </c>
      <c r="M68" t="s">
        <v>15</v>
      </c>
    </row>
    <row r="69" spans="1:13" x14ac:dyDescent="0.3">
      <c r="A69" t="s">
        <v>138</v>
      </c>
      <c r="B69" t="s">
        <v>32</v>
      </c>
      <c r="C69" s="1">
        <v>45540</v>
      </c>
      <c r="D69" t="s">
        <v>82</v>
      </c>
      <c r="E69" t="s">
        <v>121</v>
      </c>
      <c r="F69">
        <v>4886</v>
      </c>
      <c r="G69">
        <v>983</v>
      </c>
      <c r="H69">
        <v>409</v>
      </c>
      <c r="I69">
        <v>43974</v>
      </c>
      <c r="J69">
        <v>43239</v>
      </c>
      <c r="K69">
        <v>65</v>
      </c>
      <c r="L69" t="s">
        <v>53</v>
      </c>
      <c r="M69" t="s">
        <v>7</v>
      </c>
    </row>
    <row r="70" spans="1:13" x14ac:dyDescent="0.3">
      <c r="A70" t="s">
        <v>139</v>
      </c>
      <c r="B70" t="s">
        <v>32</v>
      </c>
      <c r="C70" s="1">
        <v>45618</v>
      </c>
      <c r="D70" t="s">
        <v>63</v>
      </c>
      <c r="E70" t="s">
        <v>66</v>
      </c>
      <c r="F70">
        <v>53</v>
      </c>
      <c r="G70">
        <v>81</v>
      </c>
      <c r="H70">
        <v>379</v>
      </c>
      <c r="I70">
        <v>954</v>
      </c>
      <c r="J70">
        <v>7</v>
      </c>
      <c r="K70">
        <v>148</v>
      </c>
      <c r="L70" t="s">
        <v>53</v>
      </c>
      <c r="M70" t="s">
        <v>15</v>
      </c>
    </row>
    <row r="71" spans="1:13" x14ac:dyDescent="0.3">
      <c r="A71" t="s">
        <v>140</v>
      </c>
      <c r="B71" t="s">
        <v>32</v>
      </c>
      <c r="C71" s="1">
        <v>45504</v>
      </c>
      <c r="D71" t="s">
        <v>63</v>
      </c>
      <c r="E71" t="s">
        <v>66</v>
      </c>
      <c r="F71">
        <v>4507</v>
      </c>
      <c r="G71">
        <v>217</v>
      </c>
      <c r="H71">
        <v>13</v>
      </c>
      <c r="I71">
        <v>90140</v>
      </c>
      <c r="J71">
        <v>89591</v>
      </c>
      <c r="K71">
        <v>125</v>
      </c>
      <c r="L71" t="s">
        <v>48</v>
      </c>
      <c r="M71" t="s">
        <v>15</v>
      </c>
    </row>
    <row r="72" spans="1:13" x14ac:dyDescent="0.3">
      <c r="A72" t="s">
        <v>141</v>
      </c>
      <c r="B72" t="s">
        <v>31</v>
      </c>
      <c r="C72" s="1">
        <v>45521</v>
      </c>
      <c r="D72" t="s">
        <v>68</v>
      </c>
      <c r="E72" t="s">
        <v>73</v>
      </c>
      <c r="F72">
        <v>2878</v>
      </c>
      <c r="G72">
        <v>248</v>
      </c>
      <c r="H72">
        <v>416</v>
      </c>
      <c r="I72">
        <v>43170</v>
      </c>
      <c r="J72">
        <v>42667</v>
      </c>
      <c r="K72">
        <v>75</v>
      </c>
      <c r="L72" t="s">
        <v>48</v>
      </c>
      <c r="M72" t="s">
        <v>15</v>
      </c>
    </row>
    <row r="73" spans="1:13" x14ac:dyDescent="0.3">
      <c r="A73" t="s">
        <v>142</v>
      </c>
      <c r="B73" t="s">
        <v>30</v>
      </c>
      <c r="C73" s="1">
        <v>45744</v>
      </c>
      <c r="D73" t="s">
        <v>58</v>
      </c>
      <c r="E73" t="s">
        <v>59</v>
      </c>
      <c r="F73">
        <v>1881</v>
      </c>
      <c r="G73">
        <v>501</v>
      </c>
      <c r="H73">
        <v>99</v>
      </c>
      <c r="I73">
        <v>20691</v>
      </c>
      <c r="J73">
        <v>19987</v>
      </c>
      <c r="K73">
        <v>289</v>
      </c>
      <c r="L73" t="s">
        <v>60</v>
      </c>
    </row>
    <row r="74" spans="1:13" x14ac:dyDescent="0.3">
      <c r="A74" t="s">
        <v>143</v>
      </c>
      <c r="B74" t="s">
        <v>32</v>
      </c>
      <c r="C74" s="1">
        <v>45499</v>
      </c>
      <c r="D74" t="s">
        <v>63</v>
      </c>
      <c r="E74" t="s">
        <v>66</v>
      </c>
      <c r="F74">
        <v>432</v>
      </c>
      <c r="G74">
        <v>171</v>
      </c>
      <c r="H74">
        <v>280</v>
      </c>
      <c r="I74">
        <v>3024</v>
      </c>
      <c r="J74">
        <v>2285</v>
      </c>
      <c r="K74">
        <v>184</v>
      </c>
      <c r="L74" t="s">
        <v>60</v>
      </c>
      <c r="M74" t="s">
        <v>7</v>
      </c>
    </row>
    <row r="75" spans="1:13" x14ac:dyDescent="0.3">
      <c r="A75" t="s">
        <v>144</v>
      </c>
      <c r="B75" t="s">
        <v>31</v>
      </c>
      <c r="C75" s="1">
        <v>45745</v>
      </c>
      <c r="D75" t="s">
        <v>63</v>
      </c>
      <c r="E75" t="s">
        <v>64</v>
      </c>
      <c r="F75">
        <v>4712</v>
      </c>
      <c r="G75">
        <v>568</v>
      </c>
      <c r="H75">
        <v>127</v>
      </c>
      <c r="I75">
        <v>84816</v>
      </c>
      <c r="J75">
        <v>84691</v>
      </c>
      <c r="K75">
        <v>100</v>
      </c>
      <c r="L75" t="s">
        <v>60</v>
      </c>
      <c r="M75" t="s">
        <v>15</v>
      </c>
    </row>
    <row r="76" spans="1:13" x14ac:dyDescent="0.3">
      <c r="A76" t="s">
        <v>145</v>
      </c>
      <c r="B76" t="s">
        <v>30</v>
      </c>
      <c r="C76" s="1">
        <v>45634</v>
      </c>
      <c r="D76" t="s">
        <v>58</v>
      </c>
      <c r="E76" t="s">
        <v>59</v>
      </c>
      <c r="F76">
        <v>2610</v>
      </c>
      <c r="G76">
        <v>126</v>
      </c>
      <c r="H76">
        <v>288</v>
      </c>
      <c r="I76">
        <v>15660</v>
      </c>
      <c r="J76">
        <v>15145</v>
      </c>
      <c r="K76">
        <v>73</v>
      </c>
      <c r="L76" t="s">
        <v>60</v>
      </c>
    </row>
    <row r="77" spans="1:13" x14ac:dyDescent="0.3">
      <c r="A77" t="s">
        <v>146</v>
      </c>
      <c r="B77" t="s">
        <v>32</v>
      </c>
      <c r="C77" s="1">
        <v>45724</v>
      </c>
      <c r="D77" t="s">
        <v>51</v>
      </c>
      <c r="E77" t="s">
        <v>52</v>
      </c>
      <c r="F77">
        <v>1292</v>
      </c>
      <c r="G77">
        <v>626</v>
      </c>
      <c r="H77">
        <v>496</v>
      </c>
      <c r="I77">
        <v>25840</v>
      </c>
      <c r="J77">
        <v>24916</v>
      </c>
      <c r="K77">
        <v>149</v>
      </c>
      <c r="L77" t="s">
        <v>48</v>
      </c>
      <c r="M77" t="s">
        <v>15</v>
      </c>
    </row>
    <row r="78" spans="1:13" x14ac:dyDescent="0.3">
      <c r="A78" t="s">
        <v>147</v>
      </c>
      <c r="B78" t="s">
        <v>31</v>
      </c>
      <c r="C78" s="1">
        <v>45749</v>
      </c>
      <c r="D78" t="s">
        <v>82</v>
      </c>
      <c r="E78" t="s">
        <v>83</v>
      </c>
      <c r="F78">
        <v>199</v>
      </c>
      <c r="G78">
        <v>772</v>
      </c>
      <c r="H78">
        <v>400</v>
      </c>
      <c r="I78">
        <v>3582</v>
      </c>
      <c r="J78">
        <v>2988</v>
      </c>
      <c r="K78">
        <v>43</v>
      </c>
      <c r="L78" t="s">
        <v>53</v>
      </c>
    </row>
    <row r="79" spans="1:13" x14ac:dyDescent="0.3">
      <c r="A79" t="s">
        <v>148</v>
      </c>
      <c r="B79" t="s">
        <v>33</v>
      </c>
      <c r="C79" s="1">
        <v>45537</v>
      </c>
      <c r="D79" t="s">
        <v>63</v>
      </c>
      <c r="E79" t="s">
        <v>78</v>
      </c>
      <c r="F79">
        <v>2551</v>
      </c>
      <c r="G79">
        <v>915</v>
      </c>
      <c r="H79">
        <v>205</v>
      </c>
      <c r="I79">
        <v>30612</v>
      </c>
      <c r="J79">
        <v>30360</v>
      </c>
      <c r="K79">
        <v>227</v>
      </c>
      <c r="L79" t="s">
        <v>53</v>
      </c>
      <c r="M79" t="s">
        <v>11</v>
      </c>
    </row>
    <row r="80" spans="1:13" x14ac:dyDescent="0.3">
      <c r="A80" t="s">
        <v>149</v>
      </c>
      <c r="B80" t="s">
        <v>33</v>
      </c>
      <c r="C80" s="1">
        <v>45719</v>
      </c>
      <c r="D80" t="s">
        <v>46</v>
      </c>
      <c r="E80" t="s">
        <v>56</v>
      </c>
      <c r="F80">
        <v>296</v>
      </c>
      <c r="G80">
        <v>60</v>
      </c>
      <c r="H80">
        <v>141</v>
      </c>
      <c r="I80">
        <v>5624</v>
      </c>
      <c r="J80">
        <v>5239</v>
      </c>
      <c r="K80">
        <v>88</v>
      </c>
      <c r="L80" t="s">
        <v>60</v>
      </c>
      <c r="M80" t="s">
        <v>11</v>
      </c>
    </row>
    <row r="81" spans="1:13" x14ac:dyDescent="0.3">
      <c r="A81" t="s">
        <v>150</v>
      </c>
      <c r="B81" t="s">
        <v>31</v>
      </c>
      <c r="C81" s="1">
        <v>45583</v>
      </c>
      <c r="D81" t="s">
        <v>58</v>
      </c>
      <c r="E81" t="s">
        <v>80</v>
      </c>
      <c r="F81">
        <v>4126</v>
      </c>
      <c r="G81">
        <v>426</v>
      </c>
      <c r="H81">
        <v>486</v>
      </c>
      <c r="I81">
        <v>78394</v>
      </c>
      <c r="J81">
        <v>77798</v>
      </c>
      <c r="K81">
        <v>88</v>
      </c>
      <c r="L81" t="s">
        <v>48</v>
      </c>
      <c r="M81" t="s">
        <v>19</v>
      </c>
    </row>
    <row r="82" spans="1:13" x14ac:dyDescent="0.3">
      <c r="A82" t="s">
        <v>151</v>
      </c>
      <c r="B82" t="s">
        <v>33</v>
      </c>
      <c r="C82" s="1">
        <v>45593</v>
      </c>
      <c r="D82" t="s">
        <v>46</v>
      </c>
      <c r="E82" t="s">
        <v>56</v>
      </c>
      <c r="F82">
        <v>1855</v>
      </c>
      <c r="G82">
        <v>200</v>
      </c>
      <c r="H82">
        <v>174</v>
      </c>
      <c r="I82">
        <v>16695</v>
      </c>
      <c r="J82">
        <v>16330</v>
      </c>
      <c r="K82">
        <v>123</v>
      </c>
      <c r="L82" t="s">
        <v>53</v>
      </c>
      <c r="M82" t="s">
        <v>15</v>
      </c>
    </row>
    <row r="83" spans="1:13" x14ac:dyDescent="0.3">
      <c r="A83" t="s">
        <v>152</v>
      </c>
      <c r="B83" t="s">
        <v>30</v>
      </c>
      <c r="C83" s="1">
        <v>45505</v>
      </c>
      <c r="D83" t="s">
        <v>46</v>
      </c>
      <c r="E83" t="s">
        <v>87</v>
      </c>
      <c r="F83">
        <v>1674</v>
      </c>
      <c r="G83">
        <v>929</v>
      </c>
      <c r="H83">
        <v>37</v>
      </c>
      <c r="I83">
        <v>21762</v>
      </c>
      <c r="J83">
        <v>20998</v>
      </c>
      <c r="K83">
        <v>255</v>
      </c>
      <c r="L83" t="s">
        <v>53</v>
      </c>
      <c r="M83" t="s">
        <v>19</v>
      </c>
    </row>
    <row r="84" spans="1:13" x14ac:dyDescent="0.3">
      <c r="A84" t="s">
        <v>153</v>
      </c>
      <c r="B84" t="s">
        <v>32</v>
      </c>
      <c r="C84" s="1">
        <v>45603</v>
      </c>
      <c r="D84" t="s">
        <v>58</v>
      </c>
      <c r="E84" t="s">
        <v>124</v>
      </c>
      <c r="F84">
        <v>1121</v>
      </c>
      <c r="G84">
        <v>135</v>
      </c>
      <c r="H84">
        <v>18</v>
      </c>
      <c r="I84">
        <v>15694</v>
      </c>
      <c r="J84">
        <v>14957</v>
      </c>
      <c r="K84">
        <v>99</v>
      </c>
      <c r="L84" t="s">
        <v>53</v>
      </c>
      <c r="M84" t="s">
        <v>19</v>
      </c>
    </row>
    <row r="85" spans="1:13" x14ac:dyDescent="0.3">
      <c r="A85" t="s">
        <v>154</v>
      </c>
      <c r="B85" t="s">
        <v>31</v>
      </c>
      <c r="C85" s="1">
        <v>45720</v>
      </c>
      <c r="D85" t="s">
        <v>58</v>
      </c>
      <c r="E85" t="s">
        <v>80</v>
      </c>
      <c r="F85">
        <v>1249</v>
      </c>
      <c r="G85">
        <v>116</v>
      </c>
      <c r="H85">
        <v>420</v>
      </c>
      <c r="I85">
        <v>8743</v>
      </c>
      <c r="J85">
        <v>8538</v>
      </c>
      <c r="K85">
        <v>63</v>
      </c>
      <c r="L85" t="s">
        <v>53</v>
      </c>
    </row>
    <row r="86" spans="1:13" x14ac:dyDescent="0.3">
      <c r="A86" t="s">
        <v>155</v>
      </c>
      <c r="B86" t="s">
        <v>32</v>
      </c>
      <c r="C86" s="1">
        <v>45460</v>
      </c>
      <c r="D86" t="s">
        <v>68</v>
      </c>
      <c r="E86" t="s">
        <v>114</v>
      </c>
      <c r="F86">
        <v>954</v>
      </c>
      <c r="G86">
        <v>324</v>
      </c>
      <c r="H86">
        <v>288</v>
      </c>
      <c r="I86">
        <v>19080</v>
      </c>
      <c r="J86">
        <v>18859</v>
      </c>
      <c r="K86">
        <v>21</v>
      </c>
      <c r="L86" t="s">
        <v>48</v>
      </c>
      <c r="M86" t="s">
        <v>19</v>
      </c>
    </row>
    <row r="87" spans="1:13" x14ac:dyDescent="0.3">
      <c r="A87" t="s">
        <v>156</v>
      </c>
      <c r="B87" t="s">
        <v>30</v>
      </c>
      <c r="C87" s="1">
        <v>45574</v>
      </c>
      <c r="D87" t="s">
        <v>63</v>
      </c>
      <c r="E87" t="s">
        <v>91</v>
      </c>
      <c r="F87">
        <v>3068</v>
      </c>
      <c r="G87">
        <v>137</v>
      </c>
      <c r="H87">
        <v>329</v>
      </c>
      <c r="I87">
        <v>39884</v>
      </c>
      <c r="J87">
        <v>39404</v>
      </c>
      <c r="K87">
        <v>266</v>
      </c>
      <c r="L87" t="s">
        <v>60</v>
      </c>
      <c r="M87" t="s">
        <v>11</v>
      </c>
    </row>
    <row r="88" spans="1:13" x14ac:dyDescent="0.3">
      <c r="A88" t="s">
        <v>157</v>
      </c>
      <c r="B88" t="s">
        <v>30</v>
      </c>
      <c r="C88" s="1">
        <v>45456</v>
      </c>
      <c r="D88" t="s">
        <v>58</v>
      </c>
      <c r="E88" t="s">
        <v>59</v>
      </c>
      <c r="F88">
        <v>2103</v>
      </c>
      <c r="G88">
        <v>892</v>
      </c>
      <c r="H88">
        <v>103</v>
      </c>
      <c r="I88">
        <v>39957</v>
      </c>
      <c r="J88">
        <v>39466</v>
      </c>
      <c r="K88">
        <v>28</v>
      </c>
      <c r="L88" t="s">
        <v>48</v>
      </c>
    </row>
    <row r="89" spans="1:13" x14ac:dyDescent="0.3">
      <c r="A89" t="s">
        <v>158</v>
      </c>
      <c r="B89" t="s">
        <v>30</v>
      </c>
      <c r="C89" s="1">
        <v>45584</v>
      </c>
      <c r="D89" t="s">
        <v>58</v>
      </c>
      <c r="E89" t="s">
        <v>59</v>
      </c>
      <c r="F89">
        <v>1816</v>
      </c>
      <c r="G89">
        <v>29</v>
      </c>
      <c r="H89">
        <v>41</v>
      </c>
      <c r="I89">
        <v>19976</v>
      </c>
      <c r="J89">
        <v>19262</v>
      </c>
      <c r="K89">
        <v>283</v>
      </c>
      <c r="L89" t="s">
        <v>53</v>
      </c>
      <c r="M89" t="s">
        <v>15</v>
      </c>
    </row>
    <row r="90" spans="1:13" x14ac:dyDescent="0.3">
      <c r="A90" t="s">
        <v>159</v>
      </c>
      <c r="B90" t="s">
        <v>30</v>
      </c>
      <c r="C90" s="1">
        <v>45497</v>
      </c>
      <c r="D90" t="s">
        <v>68</v>
      </c>
      <c r="E90" t="s">
        <v>160</v>
      </c>
      <c r="F90">
        <v>725</v>
      </c>
      <c r="G90">
        <v>88</v>
      </c>
      <c r="H90">
        <v>428</v>
      </c>
      <c r="I90">
        <v>14500</v>
      </c>
      <c r="J90">
        <v>13637</v>
      </c>
      <c r="K90">
        <v>200</v>
      </c>
      <c r="L90" t="s">
        <v>48</v>
      </c>
      <c r="M90" t="s">
        <v>15</v>
      </c>
    </row>
    <row r="91" spans="1:13" x14ac:dyDescent="0.3">
      <c r="A91" t="s">
        <v>159</v>
      </c>
      <c r="B91" t="s">
        <v>30</v>
      </c>
      <c r="C91" s="1">
        <v>45497</v>
      </c>
      <c r="D91" t="s">
        <v>68</v>
      </c>
      <c r="E91" t="s">
        <v>160</v>
      </c>
      <c r="F91">
        <v>725</v>
      </c>
      <c r="G91">
        <v>88</v>
      </c>
      <c r="H91">
        <v>428</v>
      </c>
      <c r="I91">
        <v>14500</v>
      </c>
      <c r="J91">
        <v>13637</v>
      </c>
      <c r="K91">
        <v>200</v>
      </c>
      <c r="L91" t="s">
        <v>53</v>
      </c>
      <c r="M91" t="s">
        <v>15</v>
      </c>
    </row>
    <row r="92" spans="1:13" x14ac:dyDescent="0.3">
      <c r="A92" t="s">
        <v>159</v>
      </c>
      <c r="B92" t="s">
        <v>30</v>
      </c>
      <c r="C92" s="1">
        <v>45497</v>
      </c>
      <c r="D92" t="s">
        <v>68</v>
      </c>
      <c r="E92" t="s">
        <v>160</v>
      </c>
      <c r="F92">
        <v>725</v>
      </c>
      <c r="G92">
        <v>88</v>
      </c>
      <c r="H92">
        <v>428</v>
      </c>
      <c r="I92">
        <v>14500</v>
      </c>
      <c r="J92">
        <v>13637</v>
      </c>
      <c r="K92">
        <v>200</v>
      </c>
      <c r="L92" t="s">
        <v>49</v>
      </c>
      <c r="M92" t="s">
        <v>15</v>
      </c>
    </row>
    <row r="93" spans="1:13" x14ac:dyDescent="0.3">
      <c r="A93" t="s">
        <v>161</v>
      </c>
      <c r="B93" t="s">
        <v>33</v>
      </c>
      <c r="C93" s="1">
        <v>45580</v>
      </c>
      <c r="D93" t="s">
        <v>82</v>
      </c>
      <c r="E93" t="s">
        <v>162</v>
      </c>
      <c r="F93">
        <v>1094</v>
      </c>
      <c r="G93">
        <v>472</v>
      </c>
      <c r="H93">
        <v>21</v>
      </c>
      <c r="I93">
        <v>9846</v>
      </c>
      <c r="J93">
        <v>9609</v>
      </c>
      <c r="K93">
        <v>112</v>
      </c>
      <c r="L93" t="s">
        <v>60</v>
      </c>
    </row>
    <row r="94" spans="1:13" x14ac:dyDescent="0.3">
      <c r="A94" t="s">
        <v>163</v>
      </c>
      <c r="B94" t="s">
        <v>31</v>
      </c>
      <c r="C94" s="1">
        <v>45635</v>
      </c>
      <c r="D94" t="s">
        <v>68</v>
      </c>
      <c r="E94" t="s">
        <v>73</v>
      </c>
      <c r="F94">
        <v>1841</v>
      </c>
      <c r="G94">
        <v>851</v>
      </c>
      <c r="H94">
        <v>342</v>
      </c>
      <c r="I94">
        <v>34979</v>
      </c>
      <c r="J94">
        <v>34154</v>
      </c>
      <c r="K94">
        <v>255</v>
      </c>
      <c r="L94" t="s">
        <v>48</v>
      </c>
      <c r="M94" t="s">
        <v>19</v>
      </c>
    </row>
    <row r="95" spans="1:13" x14ac:dyDescent="0.3">
      <c r="A95" t="s">
        <v>164</v>
      </c>
      <c r="B95" t="s">
        <v>30</v>
      </c>
      <c r="C95" s="1">
        <v>45766</v>
      </c>
      <c r="D95" t="s">
        <v>68</v>
      </c>
      <c r="E95" t="s">
        <v>160</v>
      </c>
      <c r="F95">
        <v>4177</v>
      </c>
      <c r="G95">
        <v>569</v>
      </c>
      <c r="H95">
        <v>55</v>
      </c>
      <c r="I95">
        <v>25062</v>
      </c>
      <c r="J95">
        <v>24847</v>
      </c>
      <c r="K95">
        <v>230</v>
      </c>
      <c r="L95" t="s">
        <v>48</v>
      </c>
      <c r="M95" t="s">
        <v>7</v>
      </c>
    </row>
    <row r="96" spans="1:13" x14ac:dyDescent="0.3">
      <c r="A96" t="s">
        <v>165</v>
      </c>
      <c r="B96" t="s">
        <v>33</v>
      </c>
      <c r="C96" s="1">
        <v>45684</v>
      </c>
      <c r="D96" t="s">
        <v>51</v>
      </c>
      <c r="E96" t="s">
        <v>99</v>
      </c>
      <c r="F96">
        <v>3428</v>
      </c>
      <c r="G96">
        <v>305</v>
      </c>
      <c r="H96">
        <v>85</v>
      </c>
      <c r="I96">
        <v>58276</v>
      </c>
      <c r="J96">
        <v>58052</v>
      </c>
      <c r="K96">
        <v>242</v>
      </c>
      <c r="L96" t="s">
        <v>60</v>
      </c>
      <c r="M96" t="s">
        <v>19</v>
      </c>
    </row>
    <row r="97" spans="1:13" x14ac:dyDescent="0.3">
      <c r="A97" t="s">
        <v>165</v>
      </c>
      <c r="B97" t="s">
        <v>33</v>
      </c>
      <c r="C97" s="1">
        <v>45684</v>
      </c>
      <c r="D97" t="s">
        <v>51</v>
      </c>
      <c r="E97" t="s">
        <v>99</v>
      </c>
      <c r="F97">
        <v>3428</v>
      </c>
      <c r="G97">
        <v>305</v>
      </c>
      <c r="H97">
        <v>85</v>
      </c>
      <c r="I97">
        <v>58276</v>
      </c>
      <c r="J97">
        <v>58052</v>
      </c>
      <c r="K97">
        <v>242</v>
      </c>
      <c r="L97" t="s">
        <v>54</v>
      </c>
      <c r="M97" t="s">
        <v>19</v>
      </c>
    </row>
    <row r="98" spans="1:13" x14ac:dyDescent="0.3">
      <c r="A98" t="s">
        <v>166</v>
      </c>
      <c r="B98" t="s">
        <v>32</v>
      </c>
      <c r="C98" s="1">
        <v>45449</v>
      </c>
      <c r="D98" t="s">
        <v>82</v>
      </c>
      <c r="E98" t="s">
        <v>121</v>
      </c>
      <c r="F98">
        <v>1436</v>
      </c>
      <c r="G98">
        <v>765</v>
      </c>
      <c r="H98">
        <v>496</v>
      </c>
      <c r="I98">
        <v>12924</v>
      </c>
      <c r="J98">
        <v>12701</v>
      </c>
      <c r="K98">
        <v>197</v>
      </c>
      <c r="L98" t="s">
        <v>48</v>
      </c>
      <c r="M98" t="s">
        <v>15</v>
      </c>
    </row>
    <row r="99" spans="1:13" x14ac:dyDescent="0.3">
      <c r="A99" t="s">
        <v>167</v>
      </c>
      <c r="B99" t="s">
        <v>31</v>
      </c>
      <c r="C99" s="1">
        <v>45480</v>
      </c>
      <c r="D99" t="s">
        <v>58</v>
      </c>
      <c r="E99" t="s">
        <v>80</v>
      </c>
      <c r="F99">
        <v>302</v>
      </c>
      <c r="G99">
        <v>47</v>
      </c>
      <c r="H99">
        <v>430</v>
      </c>
      <c r="I99">
        <v>5738</v>
      </c>
      <c r="J99">
        <v>4890</v>
      </c>
      <c r="K99">
        <v>25</v>
      </c>
      <c r="L99" t="s">
        <v>53</v>
      </c>
      <c r="M99" t="s">
        <v>19</v>
      </c>
    </row>
    <row r="100" spans="1:13" x14ac:dyDescent="0.3">
      <c r="A100" t="s">
        <v>168</v>
      </c>
      <c r="B100" t="s">
        <v>32</v>
      </c>
      <c r="C100" s="1">
        <v>45667</v>
      </c>
      <c r="D100" t="s">
        <v>68</v>
      </c>
      <c r="E100" t="s">
        <v>114</v>
      </c>
      <c r="F100">
        <v>2214</v>
      </c>
      <c r="G100">
        <v>249</v>
      </c>
      <c r="H100">
        <v>152</v>
      </c>
      <c r="I100">
        <v>15498</v>
      </c>
      <c r="J100">
        <v>14800</v>
      </c>
      <c r="K100">
        <v>180</v>
      </c>
      <c r="L100" t="s">
        <v>60</v>
      </c>
    </row>
    <row r="101" spans="1:13" x14ac:dyDescent="0.3">
      <c r="A101" t="s">
        <v>169</v>
      </c>
      <c r="B101" t="s">
        <v>30</v>
      </c>
      <c r="C101" s="1">
        <v>45446</v>
      </c>
      <c r="D101" t="s">
        <v>68</v>
      </c>
      <c r="E101" t="s">
        <v>160</v>
      </c>
      <c r="F101">
        <v>3861</v>
      </c>
      <c r="G101">
        <v>960</v>
      </c>
      <c r="H101">
        <v>101</v>
      </c>
      <c r="I101">
        <v>69498</v>
      </c>
      <c r="J101">
        <v>68817</v>
      </c>
      <c r="K101">
        <v>297</v>
      </c>
      <c r="L101" t="s">
        <v>53</v>
      </c>
      <c r="M101" t="s">
        <v>19</v>
      </c>
    </row>
    <row r="102" spans="1:13" x14ac:dyDescent="0.3">
      <c r="A102" t="s">
        <v>170</v>
      </c>
      <c r="B102" t="s">
        <v>31</v>
      </c>
      <c r="C102" s="1">
        <v>45740</v>
      </c>
      <c r="D102" t="s">
        <v>68</v>
      </c>
      <c r="E102" t="s">
        <v>73</v>
      </c>
      <c r="F102">
        <v>1263</v>
      </c>
      <c r="G102">
        <v>397</v>
      </c>
      <c r="H102">
        <v>357</v>
      </c>
      <c r="I102">
        <v>25260</v>
      </c>
      <c r="J102">
        <v>24615</v>
      </c>
      <c r="K102">
        <v>137</v>
      </c>
      <c r="L102" t="s">
        <v>60</v>
      </c>
      <c r="M102" t="s">
        <v>19</v>
      </c>
    </row>
    <row r="103" spans="1:13" x14ac:dyDescent="0.3">
      <c r="A103" t="s">
        <v>171</v>
      </c>
      <c r="B103" t="s">
        <v>32</v>
      </c>
      <c r="C103" s="1">
        <v>45586</v>
      </c>
      <c r="D103" t="s">
        <v>58</v>
      </c>
      <c r="E103" t="s">
        <v>124</v>
      </c>
      <c r="F103">
        <v>3801</v>
      </c>
      <c r="G103">
        <v>967</v>
      </c>
      <c r="H103">
        <v>401</v>
      </c>
      <c r="I103">
        <v>38010</v>
      </c>
      <c r="J103">
        <v>37625</v>
      </c>
      <c r="K103">
        <v>236</v>
      </c>
      <c r="L103" t="s">
        <v>48</v>
      </c>
      <c r="M103" t="s">
        <v>15</v>
      </c>
    </row>
    <row r="104" spans="1:13" x14ac:dyDescent="0.3">
      <c r="A104" t="s">
        <v>172</v>
      </c>
      <c r="B104" t="s">
        <v>30</v>
      </c>
      <c r="C104" s="1">
        <v>45637</v>
      </c>
      <c r="D104" t="s">
        <v>82</v>
      </c>
      <c r="E104" t="s">
        <v>89</v>
      </c>
      <c r="F104">
        <v>1431</v>
      </c>
      <c r="G104">
        <v>951</v>
      </c>
      <c r="H104">
        <v>26</v>
      </c>
      <c r="I104">
        <v>8586</v>
      </c>
      <c r="J104">
        <v>8396</v>
      </c>
      <c r="K104">
        <v>150</v>
      </c>
      <c r="L104" t="s">
        <v>60</v>
      </c>
      <c r="M104" t="s">
        <v>15</v>
      </c>
    </row>
    <row r="105" spans="1:13" x14ac:dyDescent="0.3">
      <c r="A105" t="s">
        <v>173</v>
      </c>
      <c r="B105" t="s">
        <v>30</v>
      </c>
      <c r="C105" s="1">
        <v>45603</v>
      </c>
      <c r="D105" t="s">
        <v>68</v>
      </c>
      <c r="E105" t="s">
        <v>160</v>
      </c>
      <c r="F105">
        <v>2647</v>
      </c>
      <c r="G105">
        <v>304</v>
      </c>
      <c r="H105">
        <v>170</v>
      </c>
      <c r="I105">
        <v>18529</v>
      </c>
      <c r="J105">
        <v>17841</v>
      </c>
      <c r="K105">
        <v>46</v>
      </c>
      <c r="L105" t="s">
        <v>48</v>
      </c>
      <c r="M105" t="s">
        <v>15</v>
      </c>
    </row>
    <row r="106" spans="1:13" x14ac:dyDescent="0.3">
      <c r="A106" t="s">
        <v>174</v>
      </c>
      <c r="B106" t="s">
        <v>30</v>
      </c>
      <c r="C106" s="1">
        <v>45604</v>
      </c>
      <c r="D106" t="s">
        <v>51</v>
      </c>
      <c r="E106" t="s">
        <v>104</v>
      </c>
      <c r="F106">
        <v>3182</v>
      </c>
      <c r="G106">
        <v>559</v>
      </c>
      <c r="H106">
        <v>160</v>
      </c>
      <c r="I106">
        <v>57276</v>
      </c>
      <c r="J106">
        <v>56890</v>
      </c>
      <c r="K106">
        <v>163</v>
      </c>
      <c r="L106" t="s">
        <v>48</v>
      </c>
      <c r="M106" t="s">
        <v>19</v>
      </c>
    </row>
    <row r="107" spans="1:13" x14ac:dyDescent="0.3">
      <c r="A107" t="s">
        <v>175</v>
      </c>
      <c r="B107" t="s">
        <v>32</v>
      </c>
      <c r="C107" s="1">
        <v>45545</v>
      </c>
      <c r="D107" t="s">
        <v>68</v>
      </c>
      <c r="E107" t="s">
        <v>114</v>
      </c>
      <c r="F107">
        <v>1238</v>
      </c>
      <c r="G107">
        <v>366</v>
      </c>
      <c r="H107">
        <v>444</v>
      </c>
      <c r="I107">
        <v>19808</v>
      </c>
      <c r="J107">
        <v>19334</v>
      </c>
      <c r="K107">
        <v>123</v>
      </c>
      <c r="L107" t="s">
        <v>48</v>
      </c>
    </row>
    <row r="108" spans="1:13" x14ac:dyDescent="0.3">
      <c r="A108" t="s">
        <v>176</v>
      </c>
      <c r="B108" t="s">
        <v>30</v>
      </c>
      <c r="C108" s="1">
        <v>45517</v>
      </c>
      <c r="D108" t="s">
        <v>68</v>
      </c>
      <c r="E108" t="s">
        <v>160</v>
      </c>
      <c r="F108">
        <v>4739</v>
      </c>
      <c r="G108">
        <v>527</v>
      </c>
      <c r="H108">
        <v>135</v>
      </c>
      <c r="I108">
        <v>61607</v>
      </c>
      <c r="J108">
        <v>61333</v>
      </c>
      <c r="K108">
        <v>36</v>
      </c>
      <c r="L108" t="s">
        <v>53</v>
      </c>
      <c r="M108" t="s">
        <v>11</v>
      </c>
    </row>
    <row r="109" spans="1:13" x14ac:dyDescent="0.3">
      <c r="A109" t="s">
        <v>176</v>
      </c>
      <c r="B109" t="s">
        <v>30</v>
      </c>
      <c r="C109" s="1">
        <v>45517</v>
      </c>
      <c r="D109" t="s">
        <v>68</v>
      </c>
      <c r="E109" t="s">
        <v>160</v>
      </c>
      <c r="F109">
        <v>4739</v>
      </c>
      <c r="G109">
        <v>527</v>
      </c>
      <c r="H109">
        <v>135</v>
      </c>
      <c r="I109">
        <v>61607</v>
      </c>
      <c r="J109">
        <v>61333</v>
      </c>
      <c r="K109">
        <v>36</v>
      </c>
      <c r="L109" t="s">
        <v>49</v>
      </c>
      <c r="M109" t="s">
        <v>11</v>
      </c>
    </row>
    <row r="110" spans="1:13" x14ac:dyDescent="0.3">
      <c r="A110" t="s">
        <v>177</v>
      </c>
      <c r="B110" t="s">
        <v>32</v>
      </c>
      <c r="C110" s="1">
        <v>45453</v>
      </c>
      <c r="D110" t="s">
        <v>58</v>
      </c>
      <c r="E110" t="s">
        <v>124</v>
      </c>
      <c r="F110">
        <v>1575</v>
      </c>
      <c r="G110">
        <v>771</v>
      </c>
      <c r="H110">
        <v>486</v>
      </c>
      <c r="I110">
        <v>25200</v>
      </c>
      <c r="J110">
        <v>24826</v>
      </c>
      <c r="K110">
        <v>17</v>
      </c>
      <c r="L110" t="s">
        <v>48</v>
      </c>
      <c r="M110" t="s">
        <v>19</v>
      </c>
    </row>
    <row r="111" spans="1:13" x14ac:dyDescent="0.3">
      <c r="A111" t="s">
        <v>178</v>
      </c>
      <c r="B111" t="s">
        <v>33</v>
      </c>
      <c r="C111" s="1">
        <v>45475</v>
      </c>
      <c r="D111" t="s">
        <v>63</v>
      </c>
      <c r="E111" t="s">
        <v>78</v>
      </c>
      <c r="F111">
        <v>4171</v>
      </c>
      <c r="G111">
        <v>548</v>
      </c>
      <c r="H111">
        <v>86</v>
      </c>
      <c r="I111">
        <v>66736</v>
      </c>
      <c r="J111">
        <v>66634</v>
      </c>
      <c r="K111">
        <v>173</v>
      </c>
      <c r="L111" t="s">
        <v>48</v>
      </c>
      <c r="M111" t="s">
        <v>15</v>
      </c>
    </row>
    <row r="112" spans="1:13" x14ac:dyDescent="0.3">
      <c r="A112" t="s">
        <v>179</v>
      </c>
      <c r="B112" t="s">
        <v>33</v>
      </c>
      <c r="C112" s="1">
        <v>45698</v>
      </c>
      <c r="D112" t="s">
        <v>82</v>
      </c>
      <c r="E112" t="s">
        <v>162</v>
      </c>
      <c r="F112">
        <v>1766</v>
      </c>
      <c r="G112">
        <v>92</v>
      </c>
      <c r="H112">
        <v>424</v>
      </c>
      <c r="I112">
        <v>24724</v>
      </c>
      <c r="J112">
        <v>24333</v>
      </c>
      <c r="K112">
        <v>52</v>
      </c>
      <c r="L112" t="s">
        <v>60</v>
      </c>
    </row>
    <row r="113" spans="1:13" x14ac:dyDescent="0.3">
      <c r="A113" t="s">
        <v>180</v>
      </c>
      <c r="B113" t="s">
        <v>33</v>
      </c>
      <c r="C113" s="1">
        <v>45583</v>
      </c>
      <c r="D113" t="s">
        <v>82</v>
      </c>
      <c r="E113" t="s">
        <v>162</v>
      </c>
      <c r="F113">
        <v>4450</v>
      </c>
      <c r="G113">
        <v>983</v>
      </c>
      <c r="H113">
        <v>143</v>
      </c>
      <c r="I113">
        <v>75650</v>
      </c>
      <c r="J113">
        <v>75008</v>
      </c>
      <c r="K113">
        <v>12</v>
      </c>
      <c r="L113" t="s">
        <v>48</v>
      </c>
      <c r="M113" t="s">
        <v>15</v>
      </c>
    </row>
    <row r="114" spans="1:13" x14ac:dyDescent="0.3">
      <c r="A114" t="s">
        <v>181</v>
      </c>
      <c r="B114" t="s">
        <v>32</v>
      </c>
      <c r="C114" s="1">
        <v>45553</v>
      </c>
      <c r="D114" t="s">
        <v>46</v>
      </c>
      <c r="E114" t="s">
        <v>47</v>
      </c>
      <c r="F114">
        <v>1000</v>
      </c>
      <c r="G114">
        <v>978</v>
      </c>
      <c r="H114">
        <v>162</v>
      </c>
      <c r="I114">
        <v>6000</v>
      </c>
      <c r="J114">
        <v>5221</v>
      </c>
      <c r="K114">
        <v>223</v>
      </c>
      <c r="L114" t="s">
        <v>60</v>
      </c>
      <c r="M114" t="s">
        <v>11</v>
      </c>
    </row>
    <row r="115" spans="1:13" x14ac:dyDescent="0.3">
      <c r="A115" t="s">
        <v>182</v>
      </c>
      <c r="B115" t="s">
        <v>31</v>
      </c>
      <c r="C115" s="1">
        <v>45454</v>
      </c>
      <c r="D115" t="s">
        <v>68</v>
      </c>
      <c r="E115" t="s">
        <v>73</v>
      </c>
      <c r="F115">
        <v>3689</v>
      </c>
      <c r="G115">
        <v>48</v>
      </c>
      <c r="H115">
        <v>306</v>
      </c>
      <c r="I115">
        <v>40579</v>
      </c>
      <c r="J115">
        <v>39588</v>
      </c>
      <c r="K115">
        <v>212</v>
      </c>
      <c r="L115" t="s">
        <v>60</v>
      </c>
      <c r="M115" t="s">
        <v>11</v>
      </c>
    </row>
    <row r="116" spans="1:13" x14ac:dyDescent="0.3">
      <c r="A116" t="s">
        <v>183</v>
      </c>
      <c r="B116" t="s">
        <v>33</v>
      </c>
      <c r="C116" s="1">
        <v>45739</v>
      </c>
      <c r="D116" t="s">
        <v>58</v>
      </c>
      <c r="E116" t="s">
        <v>127</v>
      </c>
      <c r="F116">
        <v>3655</v>
      </c>
      <c r="G116">
        <v>568</v>
      </c>
      <c r="H116">
        <v>286</v>
      </c>
      <c r="I116">
        <v>32895</v>
      </c>
      <c r="J116">
        <v>32015</v>
      </c>
      <c r="K116">
        <v>199</v>
      </c>
      <c r="L116" t="s">
        <v>53</v>
      </c>
      <c r="M116" t="s">
        <v>15</v>
      </c>
    </row>
    <row r="117" spans="1:13" x14ac:dyDescent="0.3">
      <c r="A117" t="s">
        <v>184</v>
      </c>
      <c r="B117" t="s">
        <v>30</v>
      </c>
      <c r="C117" s="1">
        <v>45457</v>
      </c>
      <c r="D117" t="s">
        <v>63</v>
      </c>
      <c r="E117" t="s">
        <v>91</v>
      </c>
      <c r="F117">
        <v>498</v>
      </c>
      <c r="G117">
        <v>38</v>
      </c>
      <c r="H117">
        <v>42</v>
      </c>
      <c r="I117">
        <v>4482</v>
      </c>
      <c r="J117">
        <v>3647</v>
      </c>
      <c r="K117">
        <v>32</v>
      </c>
      <c r="L117" t="s">
        <v>48</v>
      </c>
      <c r="M117" t="s">
        <v>7</v>
      </c>
    </row>
    <row r="118" spans="1:13" x14ac:dyDescent="0.3">
      <c r="A118" t="s">
        <v>185</v>
      </c>
      <c r="B118" t="s">
        <v>30</v>
      </c>
      <c r="C118" s="1">
        <v>45692</v>
      </c>
      <c r="D118" t="s">
        <v>68</v>
      </c>
      <c r="E118" t="s">
        <v>160</v>
      </c>
      <c r="F118">
        <v>4619</v>
      </c>
      <c r="G118">
        <v>821</v>
      </c>
      <c r="H118">
        <v>499</v>
      </c>
      <c r="I118">
        <v>69285</v>
      </c>
      <c r="J118">
        <v>69141</v>
      </c>
      <c r="K118">
        <v>298</v>
      </c>
      <c r="L118" t="s">
        <v>53</v>
      </c>
      <c r="M118" t="s">
        <v>19</v>
      </c>
    </row>
    <row r="119" spans="1:13" x14ac:dyDescent="0.3">
      <c r="A119" t="s">
        <v>186</v>
      </c>
      <c r="B119" t="s">
        <v>33</v>
      </c>
      <c r="C119" s="1">
        <v>45464</v>
      </c>
      <c r="D119" t="s">
        <v>68</v>
      </c>
      <c r="E119" t="s">
        <v>69</v>
      </c>
      <c r="F119">
        <v>4832</v>
      </c>
      <c r="G119">
        <v>893</v>
      </c>
      <c r="H119">
        <v>10</v>
      </c>
      <c r="I119">
        <v>91808</v>
      </c>
      <c r="J119">
        <v>91296</v>
      </c>
      <c r="K119">
        <v>182</v>
      </c>
      <c r="L119" t="s">
        <v>53</v>
      </c>
    </row>
    <row r="120" spans="1:13" x14ac:dyDescent="0.3">
      <c r="A120" t="s">
        <v>187</v>
      </c>
      <c r="B120" t="s">
        <v>32</v>
      </c>
      <c r="C120" s="1">
        <v>45741</v>
      </c>
      <c r="D120" t="s">
        <v>82</v>
      </c>
      <c r="E120" t="s">
        <v>121</v>
      </c>
      <c r="F120">
        <v>4050</v>
      </c>
      <c r="G120">
        <v>871</v>
      </c>
      <c r="H120">
        <v>347</v>
      </c>
      <c r="I120">
        <v>52650</v>
      </c>
      <c r="J120">
        <v>51755</v>
      </c>
      <c r="K120">
        <v>209</v>
      </c>
      <c r="L120" t="s">
        <v>53</v>
      </c>
      <c r="M120" t="s">
        <v>11</v>
      </c>
    </row>
    <row r="121" spans="1:13" x14ac:dyDescent="0.3">
      <c r="A121" t="s">
        <v>188</v>
      </c>
      <c r="B121" t="s">
        <v>32</v>
      </c>
      <c r="C121" s="1">
        <v>45512</v>
      </c>
      <c r="D121" t="s">
        <v>58</v>
      </c>
      <c r="E121" t="s">
        <v>124</v>
      </c>
      <c r="F121">
        <v>3649</v>
      </c>
      <c r="G121">
        <v>215</v>
      </c>
      <c r="H121">
        <v>413</v>
      </c>
      <c r="I121">
        <v>25543</v>
      </c>
      <c r="J121">
        <v>24963</v>
      </c>
      <c r="K121">
        <v>167</v>
      </c>
      <c r="L121" t="s">
        <v>48</v>
      </c>
      <c r="M121" t="s">
        <v>15</v>
      </c>
    </row>
    <row r="122" spans="1:13" x14ac:dyDescent="0.3">
      <c r="A122" t="s">
        <v>189</v>
      </c>
      <c r="B122" t="s">
        <v>30</v>
      </c>
      <c r="C122" s="1">
        <v>45502</v>
      </c>
      <c r="D122" t="s">
        <v>46</v>
      </c>
      <c r="E122" t="s">
        <v>87</v>
      </c>
      <c r="F122">
        <v>3523</v>
      </c>
      <c r="G122">
        <v>753</v>
      </c>
      <c r="H122">
        <v>482</v>
      </c>
      <c r="I122">
        <v>38753</v>
      </c>
      <c r="J122">
        <v>38579</v>
      </c>
      <c r="K122">
        <v>270</v>
      </c>
      <c r="L122" t="s">
        <v>60</v>
      </c>
      <c r="M122" t="s">
        <v>11</v>
      </c>
    </row>
    <row r="123" spans="1:13" x14ac:dyDescent="0.3">
      <c r="A123" t="s">
        <v>190</v>
      </c>
      <c r="B123" t="s">
        <v>33</v>
      </c>
      <c r="C123" s="1">
        <v>45619</v>
      </c>
      <c r="D123" t="s">
        <v>68</v>
      </c>
      <c r="E123" t="s">
        <v>69</v>
      </c>
      <c r="F123">
        <v>2719</v>
      </c>
      <c r="G123">
        <v>17</v>
      </c>
      <c r="H123">
        <v>285</v>
      </c>
      <c r="I123">
        <v>40785</v>
      </c>
      <c r="J123">
        <v>40281</v>
      </c>
      <c r="K123">
        <v>40</v>
      </c>
      <c r="L123" t="s">
        <v>53</v>
      </c>
      <c r="M123" t="s">
        <v>11</v>
      </c>
    </row>
    <row r="124" spans="1:13" x14ac:dyDescent="0.3">
      <c r="A124" t="s">
        <v>191</v>
      </c>
      <c r="B124" t="s">
        <v>32</v>
      </c>
      <c r="C124" s="1">
        <v>45570</v>
      </c>
      <c r="D124" t="s">
        <v>58</v>
      </c>
      <c r="E124" t="s">
        <v>124</v>
      </c>
      <c r="F124">
        <v>1957</v>
      </c>
      <c r="G124">
        <v>877</v>
      </c>
      <c r="H124">
        <v>238</v>
      </c>
      <c r="I124">
        <v>17613</v>
      </c>
      <c r="J124">
        <v>16865</v>
      </c>
      <c r="K124">
        <v>297</v>
      </c>
      <c r="L124" t="s">
        <v>48</v>
      </c>
      <c r="M124" t="s">
        <v>15</v>
      </c>
    </row>
    <row r="125" spans="1:13" x14ac:dyDescent="0.3">
      <c r="A125" t="s">
        <v>192</v>
      </c>
      <c r="B125" t="s">
        <v>32</v>
      </c>
      <c r="C125" s="1">
        <v>45567</v>
      </c>
      <c r="D125" t="s">
        <v>63</v>
      </c>
      <c r="E125" t="s">
        <v>66</v>
      </c>
      <c r="F125">
        <v>4419</v>
      </c>
      <c r="G125">
        <v>236</v>
      </c>
      <c r="H125">
        <v>369</v>
      </c>
      <c r="I125">
        <v>44190</v>
      </c>
      <c r="J125">
        <v>43582</v>
      </c>
      <c r="K125">
        <v>10</v>
      </c>
      <c r="L125" t="s">
        <v>60</v>
      </c>
      <c r="M125" t="s">
        <v>7</v>
      </c>
    </row>
    <row r="126" spans="1:13" x14ac:dyDescent="0.3">
      <c r="A126" t="s">
        <v>193</v>
      </c>
      <c r="B126" t="s">
        <v>32</v>
      </c>
      <c r="C126" s="1">
        <v>45610</v>
      </c>
      <c r="D126" t="s">
        <v>58</v>
      </c>
      <c r="E126" t="s">
        <v>124</v>
      </c>
      <c r="F126">
        <v>4000</v>
      </c>
      <c r="G126">
        <v>689</v>
      </c>
      <c r="H126">
        <v>488</v>
      </c>
      <c r="I126">
        <v>40000</v>
      </c>
      <c r="J126">
        <v>39569</v>
      </c>
      <c r="K126">
        <v>44</v>
      </c>
      <c r="L126" t="s">
        <v>48</v>
      </c>
      <c r="M126" t="s">
        <v>7</v>
      </c>
    </row>
    <row r="127" spans="1:13" x14ac:dyDescent="0.3">
      <c r="A127" t="s">
        <v>194</v>
      </c>
      <c r="B127" t="s">
        <v>32</v>
      </c>
      <c r="C127" s="1">
        <v>45788</v>
      </c>
      <c r="D127" t="s">
        <v>68</v>
      </c>
      <c r="E127" t="s">
        <v>114</v>
      </c>
      <c r="F127">
        <v>2493</v>
      </c>
      <c r="G127">
        <v>97</v>
      </c>
      <c r="H127">
        <v>44</v>
      </c>
      <c r="I127">
        <v>42381</v>
      </c>
      <c r="J127">
        <v>41991</v>
      </c>
      <c r="K127">
        <v>242</v>
      </c>
      <c r="L127" t="s">
        <v>53</v>
      </c>
      <c r="M127" t="s">
        <v>19</v>
      </c>
    </row>
    <row r="128" spans="1:13" x14ac:dyDescent="0.3">
      <c r="A128" t="s">
        <v>194</v>
      </c>
      <c r="B128" t="s">
        <v>32</v>
      </c>
      <c r="C128" s="1">
        <v>45788</v>
      </c>
      <c r="D128" t="s">
        <v>68</v>
      </c>
      <c r="E128" t="s">
        <v>114</v>
      </c>
      <c r="F128">
        <v>2493</v>
      </c>
      <c r="G128">
        <v>97</v>
      </c>
      <c r="H128">
        <v>44</v>
      </c>
      <c r="I128">
        <v>42381</v>
      </c>
      <c r="J128">
        <v>41991</v>
      </c>
      <c r="K128">
        <v>242</v>
      </c>
      <c r="L128" t="s">
        <v>49</v>
      </c>
      <c r="M128" t="s">
        <v>19</v>
      </c>
    </row>
    <row r="129" spans="1:13" x14ac:dyDescent="0.3">
      <c r="A129" t="s">
        <v>195</v>
      </c>
      <c r="B129" t="s">
        <v>33</v>
      </c>
      <c r="C129" s="1">
        <v>45734</v>
      </c>
      <c r="D129" t="s">
        <v>46</v>
      </c>
      <c r="E129" t="s">
        <v>56</v>
      </c>
      <c r="F129">
        <v>3704</v>
      </c>
      <c r="G129">
        <v>186</v>
      </c>
      <c r="H129">
        <v>458</v>
      </c>
      <c r="I129">
        <v>25928</v>
      </c>
      <c r="J129">
        <v>25081</v>
      </c>
      <c r="K129">
        <v>131</v>
      </c>
      <c r="L129" t="s">
        <v>53</v>
      </c>
    </row>
    <row r="130" spans="1:13" x14ac:dyDescent="0.3">
      <c r="A130" t="s">
        <v>196</v>
      </c>
      <c r="B130" t="s">
        <v>32</v>
      </c>
      <c r="C130" s="1">
        <v>45600</v>
      </c>
      <c r="D130" t="s">
        <v>68</v>
      </c>
      <c r="E130" t="s">
        <v>114</v>
      </c>
      <c r="F130">
        <v>1606</v>
      </c>
      <c r="G130">
        <v>451</v>
      </c>
      <c r="H130">
        <v>405</v>
      </c>
      <c r="I130">
        <v>20878</v>
      </c>
      <c r="J130">
        <v>20190</v>
      </c>
      <c r="K130">
        <v>219</v>
      </c>
      <c r="L130" t="s">
        <v>60</v>
      </c>
      <c r="M130" t="s">
        <v>19</v>
      </c>
    </row>
    <row r="131" spans="1:13" x14ac:dyDescent="0.3">
      <c r="A131" t="s">
        <v>197</v>
      </c>
      <c r="B131" t="s">
        <v>31</v>
      </c>
      <c r="C131" s="1">
        <v>45600</v>
      </c>
      <c r="D131" t="s">
        <v>68</v>
      </c>
      <c r="E131" t="s">
        <v>73</v>
      </c>
      <c r="F131">
        <v>4551</v>
      </c>
      <c r="G131">
        <v>714</v>
      </c>
      <c r="H131">
        <v>207</v>
      </c>
      <c r="I131">
        <v>68265</v>
      </c>
      <c r="J131">
        <v>67754</v>
      </c>
      <c r="K131">
        <v>57</v>
      </c>
      <c r="L131" t="s">
        <v>48</v>
      </c>
      <c r="M131" t="s">
        <v>15</v>
      </c>
    </row>
    <row r="132" spans="1:13" x14ac:dyDescent="0.3">
      <c r="A132" t="s">
        <v>198</v>
      </c>
      <c r="B132" t="s">
        <v>30</v>
      </c>
      <c r="C132" s="1">
        <v>45695</v>
      </c>
      <c r="D132" t="s">
        <v>46</v>
      </c>
      <c r="E132" t="s">
        <v>87</v>
      </c>
      <c r="F132">
        <v>1970</v>
      </c>
      <c r="G132">
        <v>675</v>
      </c>
      <c r="H132">
        <v>478</v>
      </c>
      <c r="I132">
        <v>9850</v>
      </c>
      <c r="J132">
        <v>8924</v>
      </c>
      <c r="K132">
        <v>117</v>
      </c>
      <c r="L132" t="s">
        <v>48</v>
      </c>
    </row>
    <row r="133" spans="1:13" x14ac:dyDescent="0.3">
      <c r="A133" t="s">
        <v>199</v>
      </c>
      <c r="B133" t="s">
        <v>31</v>
      </c>
      <c r="C133" s="1">
        <v>45586</v>
      </c>
      <c r="D133" t="s">
        <v>58</v>
      </c>
      <c r="E133" t="s">
        <v>80</v>
      </c>
      <c r="F133">
        <v>780</v>
      </c>
      <c r="G133">
        <v>928</v>
      </c>
      <c r="H133">
        <v>301</v>
      </c>
      <c r="I133">
        <v>8580</v>
      </c>
      <c r="J133">
        <v>8081</v>
      </c>
      <c r="K133">
        <v>91</v>
      </c>
      <c r="L133" t="s">
        <v>60</v>
      </c>
      <c r="M133" t="s">
        <v>15</v>
      </c>
    </row>
    <row r="134" spans="1:13" x14ac:dyDescent="0.3">
      <c r="A134" t="s">
        <v>200</v>
      </c>
      <c r="B134" t="s">
        <v>30</v>
      </c>
      <c r="C134" s="1">
        <v>45502</v>
      </c>
      <c r="D134" t="s">
        <v>58</v>
      </c>
      <c r="E134" t="s">
        <v>59</v>
      </c>
      <c r="F134">
        <v>498</v>
      </c>
      <c r="G134">
        <v>701</v>
      </c>
      <c r="H134">
        <v>412</v>
      </c>
      <c r="I134">
        <v>4980</v>
      </c>
      <c r="J134">
        <v>4185</v>
      </c>
      <c r="K134">
        <v>185</v>
      </c>
      <c r="L134" t="s">
        <v>48</v>
      </c>
    </row>
    <row r="135" spans="1:13" x14ac:dyDescent="0.3">
      <c r="A135" t="s">
        <v>201</v>
      </c>
      <c r="B135" t="s">
        <v>30</v>
      </c>
      <c r="C135" s="1">
        <v>45567</v>
      </c>
      <c r="D135" t="s">
        <v>51</v>
      </c>
      <c r="E135" t="s">
        <v>104</v>
      </c>
      <c r="F135">
        <v>3432</v>
      </c>
      <c r="G135">
        <v>869</v>
      </c>
      <c r="H135">
        <v>123</v>
      </c>
      <c r="I135">
        <v>54912</v>
      </c>
      <c r="J135">
        <v>53916</v>
      </c>
      <c r="K135">
        <v>264</v>
      </c>
      <c r="L135" t="s">
        <v>60</v>
      </c>
      <c r="M135" t="s">
        <v>11</v>
      </c>
    </row>
    <row r="136" spans="1:13" x14ac:dyDescent="0.3">
      <c r="A136" t="s">
        <v>202</v>
      </c>
      <c r="B136" t="s">
        <v>30</v>
      </c>
      <c r="C136" s="1">
        <v>45457</v>
      </c>
      <c r="D136" t="s">
        <v>58</v>
      </c>
      <c r="E136" t="s">
        <v>59</v>
      </c>
      <c r="F136">
        <v>4363</v>
      </c>
      <c r="G136">
        <v>649</v>
      </c>
      <c r="H136">
        <v>140</v>
      </c>
      <c r="I136">
        <v>21815</v>
      </c>
      <c r="J136">
        <v>21481</v>
      </c>
      <c r="K136">
        <v>157</v>
      </c>
      <c r="L136" t="s">
        <v>60</v>
      </c>
      <c r="M136" t="s">
        <v>7</v>
      </c>
    </row>
    <row r="137" spans="1:13" x14ac:dyDescent="0.3">
      <c r="A137" t="s">
        <v>203</v>
      </c>
      <c r="B137" t="s">
        <v>33</v>
      </c>
      <c r="C137" s="1">
        <v>45753</v>
      </c>
      <c r="D137" t="s">
        <v>63</v>
      </c>
      <c r="E137" t="s">
        <v>78</v>
      </c>
      <c r="F137">
        <v>736</v>
      </c>
      <c r="G137">
        <v>771</v>
      </c>
      <c r="H137">
        <v>225</v>
      </c>
      <c r="I137">
        <v>5152</v>
      </c>
      <c r="J137">
        <v>4706</v>
      </c>
      <c r="K137">
        <v>19</v>
      </c>
      <c r="L137" t="s">
        <v>60</v>
      </c>
      <c r="M137" t="s">
        <v>7</v>
      </c>
    </row>
    <row r="138" spans="1:13" x14ac:dyDescent="0.3">
      <c r="A138" t="s">
        <v>204</v>
      </c>
      <c r="B138" t="s">
        <v>32</v>
      </c>
      <c r="C138" s="1">
        <v>45543</v>
      </c>
      <c r="D138" t="s">
        <v>63</v>
      </c>
      <c r="E138" t="s">
        <v>66</v>
      </c>
      <c r="F138">
        <v>3811</v>
      </c>
      <c r="G138">
        <v>866</v>
      </c>
      <c r="H138">
        <v>216</v>
      </c>
      <c r="I138">
        <v>34299</v>
      </c>
      <c r="J138">
        <v>34088</v>
      </c>
      <c r="K138">
        <v>233</v>
      </c>
      <c r="L138" t="s">
        <v>53</v>
      </c>
      <c r="M138" t="s">
        <v>19</v>
      </c>
    </row>
    <row r="139" spans="1:13" x14ac:dyDescent="0.3">
      <c r="A139" t="s">
        <v>205</v>
      </c>
      <c r="B139" t="s">
        <v>30</v>
      </c>
      <c r="C139" s="1">
        <v>45744</v>
      </c>
      <c r="D139" t="s">
        <v>63</v>
      </c>
      <c r="E139" t="s">
        <v>91</v>
      </c>
      <c r="F139">
        <v>4158</v>
      </c>
      <c r="G139">
        <v>167</v>
      </c>
      <c r="H139">
        <v>241</v>
      </c>
      <c r="I139">
        <v>45738</v>
      </c>
      <c r="J139">
        <v>45183</v>
      </c>
      <c r="K139">
        <v>142</v>
      </c>
      <c r="L139" t="s">
        <v>48</v>
      </c>
    </row>
    <row r="140" spans="1:13" x14ac:dyDescent="0.3">
      <c r="A140" t="s">
        <v>206</v>
      </c>
      <c r="B140" t="s">
        <v>31</v>
      </c>
      <c r="C140" s="1">
        <v>45684</v>
      </c>
      <c r="D140" t="s">
        <v>46</v>
      </c>
      <c r="E140" t="s">
        <v>76</v>
      </c>
      <c r="F140">
        <v>3452</v>
      </c>
      <c r="G140">
        <v>652</v>
      </c>
      <c r="H140">
        <v>442</v>
      </c>
      <c r="I140">
        <v>65588</v>
      </c>
      <c r="J140">
        <v>65049</v>
      </c>
      <c r="K140">
        <v>158</v>
      </c>
      <c r="L140" t="s">
        <v>48</v>
      </c>
      <c r="M140" t="s">
        <v>15</v>
      </c>
    </row>
    <row r="141" spans="1:13" x14ac:dyDescent="0.3">
      <c r="A141" t="s">
        <v>207</v>
      </c>
      <c r="B141" t="s">
        <v>32</v>
      </c>
      <c r="C141" s="1">
        <v>45667</v>
      </c>
      <c r="D141" t="s">
        <v>68</v>
      </c>
      <c r="E141" t="s">
        <v>114</v>
      </c>
      <c r="F141">
        <v>3092</v>
      </c>
      <c r="G141">
        <v>106</v>
      </c>
      <c r="H141">
        <v>291</v>
      </c>
      <c r="I141">
        <v>27828</v>
      </c>
      <c r="J141">
        <v>27217</v>
      </c>
      <c r="K141">
        <v>102</v>
      </c>
      <c r="L141" t="s">
        <v>48</v>
      </c>
    </row>
    <row r="142" spans="1:13" x14ac:dyDescent="0.3">
      <c r="A142" t="s">
        <v>208</v>
      </c>
      <c r="B142" t="s">
        <v>32</v>
      </c>
      <c r="C142" s="1">
        <v>45494</v>
      </c>
      <c r="D142" t="s">
        <v>51</v>
      </c>
      <c r="E142" t="s">
        <v>52</v>
      </c>
      <c r="F142">
        <v>2147</v>
      </c>
      <c r="G142">
        <v>430</v>
      </c>
      <c r="H142">
        <v>393</v>
      </c>
      <c r="I142">
        <v>17176</v>
      </c>
      <c r="J142">
        <v>16483</v>
      </c>
      <c r="K142">
        <v>170</v>
      </c>
      <c r="L142" t="s">
        <v>53</v>
      </c>
    </row>
    <row r="143" spans="1:13" x14ac:dyDescent="0.3">
      <c r="A143" t="s">
        <v>209</v>
      </c>
      <c r="B143" t="s">
        <v>33</v>
      </c>
      <c r="C143" s="1">
        <v>45564</v>
      </c>
      <c r="D143" t="s">
        <v>46</v>
      </c>
      <c r="E143" t="s">
        <v>56</v>
      </c>
      <c r="F143">
        <v>2936</v>
      </c>
      <c r="G143">
        <v>439</v>
      </c>
      <c r="H143">
        <v>44</v>
      </c>
      <c r="I143">
        <v>38168</v>
      </c>
      <c r="J143">
        <v>37571</v>
      </c>
      <c r="K143">
        <v>22</v>
      </c>
      <c r="L143" t="s">
        <v>60</v>
      </c>
      <c r="M143" t="s">
        <v>19</v>
      </c>
    </row>
    <row r="144" spans="1:13" x14ac:dyDescent="0.3">
      <c r="A144" t="s">
        <v>210</v>
      </c>
      <c r="B144" t="s">
        <v>30</v>
      </c>
      <c r="C144" s="1">
        <v>45586</v>
      </c>
      <c r="D144" t="s">
        <v>46</v>
      </c>
      <c r="E144" t="s">
        <v>87</v>
      </c>
      <c r="F144">
        <v>4840</v>
      </c>
      <c r="G144">
        <v>658</v>
      </c>
      <c r="H144">
        <v>211</v>
      </c>
      <c r="I144">
        <v>43560</v>
      </c>
      <c r="J144">
        <v>43225</v>
      </c>
      <c r="K144">
        <v>57</v>
      </c>
      <c r="L144" t="s">
        <v>48</v>
      </c>
      <c r="M144" t="s">
        <v>15</v>
      </c>
    </row>
    <row r="145" spans="1:13" x14ac:dyDescent="0.3">
      <c r="A145" t="s">
        <v>211</v>
      </c>
      <c r="B145" t="s">
        <v>30</v>
      </c>
      <c r="C145" s="1">
        <v>45720</v>
      </c>
      <c r="D145" t="s">
        <v>58</v>
      </c>
      <c r="E145" t="s">
        <v>59</v>
      </c>
      <c r="F145">
        <v>1947</v>
      </c>
      <c r="G145">
        <v>842</v>
      </c>
      <c r="H145">
        <v>101</v>
      </c>
      <c r="I145">
        <v>21417</v>
      </c>
      <c r="J145">
        <v>20967</v>
      </c>
      <c r="K145">
        <v>186</v>
      </c>
      <c r="L145" t="s">
        <v>48</v>
      </c>
      <c r="M145" t="s">
        <v>11</v>
      </c>
    </row>
    <row r="146" spans="1:13" x14ac:dyDescent="0.3">
      <c r="A146" t="s">
        <v>212</v>
      </c>
      <c r="B146" t="s">
        <v>31</v>
      </c>
      <c r="C146" s="1">
        <v>45694</v>
      </c>
      <c r="D146" t="s">
        <v>68</v>
      </c>
      <c r="E146" t="s">
        <v>73</v>
      </c>
      <c r="F146">
        <v>2072</v>
      </c>
      <c r="G146">
        <v>532</v>
      </c>
      <c r="H146">
        <v>71</v>
      </c>
      <c r="I146">
        <v>37296</v>
      </c>
      <c r="J146">
        <v>36467</v>
      </c>
      <c r="K146">
        <v>25</v>
      </c>
      <c r="L146" t="s">
        <v>53</v>
      </c>
      <c r="M146" t="s">
        <v>19</v>
      </c>
    </row>
    <row r="147" spans="1:13" x14ac:dyDescent="0.3">
      <c r="A147" t="s">
        <v>213</v>
      </c>
      <c r="B147" t="s">
        <v>32</v>
      </c>
      <c r="C147" s="1">
        <v>45771</v>
      </c>
      <c r="D147" t="s">
        <v>46</v>
      </c>
      <c r="E147" t="s">
        <v>47</v>
      </c>
      <c r="F147">
        <v>3731</v>
      </c>
      <c r="G147">
        <v>115</v>
      </c>
      <c r="H147">
        <v>135</v>
      </c>
      <c r="I147">
        <v>55965</v>
      </c>
      <c r="J147">
        <v>55436</v>
      </c>
      <c r="K147">
        <v>103</v>
      </c>
      <c r="L147" t="s">
        <v>53</v>
      </c>
      <c r="M147" t="s">
        <v>7</v>
      </c>
    </row>
    <row r="148" spans="1:13" x14ac:dyDescent="0.3">
      <c r="A148" t="s">
        <v>214</v>
      </c>
      <c r="B148" t="s">
        <v>31</v>
      </c>
      <c r="C148" s="1">
        <v>45624</v>
      </c>
      <c r="D148" t="s">
        <v>51</v>
      </c>
      <c r="E148" t="s">
        <v>71</v>
      </c>
      <c r="F148">
        <v>4213</v>
      </c>
      <c r="G148">
        <v>253</v>
      </c>
      <c r="H148">
        <v>434</v>
      </c>
      <c r="I148">
        <v>75834</v>
      </c>
      <c r="J148">
        <v>75437</v>
      </c>
      <c r="K148">
        <v>272</v>
      </c>
      <c r="L148" t="s">
        <v>48</v>
      </c>
      <c r="M148" t="s">
        <v>19</v>
      </c>
    </row>
    <row r="149" spans="1:13" x14ac:dyDescent="0.3">
      <c r="A149" t="s">
        <v>215</v>
      </c>
      <c r="B149" t="s">
        <v>30</v>
      </c>
      <c r="C149" s="1">
        <v>45484</v>
      </c>
      <c r="D149" t="s">
        <v>51</v>
      </c>
      <c r="E149" t="s">
        <v>104</v>
      </c>
      <c r="F149">
        <v>3134</v>
      </c>
      <c r="G149">
        <v>888</v>
      </c>
      <c r="H149">
        <v>444</v>
      </c>
      <c r="I149">
        <v>21938</v>
      </c>
      <c r="J149">
        <v>21337</v>
      </c>
      <c r="K149">
        <v>130</v>
      </c>
      <c r="L149" t="s">
        <v>60</v>
      </c>
      <c r="M149" t="s">
        <v>19</v>
      </c>
    </row>
    <row r="150" spans="1:13" x14ac:dyDescent="0.3">
      <c r="A150" t="s">
        <v>216</v>
      </c>
      <c r="B150" t="s">
        <v>31</v>
      </c>
      <c r="C150" s="1">
        <v>45504</v>
      </c>
      <c r="D150" t="s">
        <v>82</v>
      </c>
      <c r="E150" t="s">
        <v>83</v>
      </c>
      <c r="F150">
        <v>3008</v>
      </c>
      <c r="G150">
        <v>94</v>
      </c>
      <c r="H150">
        <v>37</v>
      </c>
      <c r="I150">
        <v>15040</v>
      </c>
      <c r="J150">
        <v>14639</v>
      </c>
      <c r="K150">
        <v>277</v>
      </c>
      <c r="L150" t="s">
        <v>48</v>
      </c>
    </row>
    <row r="151" spans="1:13" x14ac:dyDescent="0.3">
      <c r="A151" t="s">
        <v>217</v>
      </c>
      <c r="B151" t="s">
        <v>32</v>
      </c>
      <c r="C151" s="1">
        <v>45745</v>
      </c>
      <c r="D151" t="s">
        <v>68</v>
      </c>
      <c r="E151" t="s">
        <v>114</v>
      </c>
      <c r="F151">
        <v>305</v>
      </c>
      <c r="G151">
        <v>187</v>
      </c>
      <c r="H151">
        <v>243</v>
      </c>
      <c r="I151">
        <v>4575</v>
      </c>
      <c r="J151">
        <v>3704</v>
      </c>
      <c r="K151">
        <v>234</v>
      </c>
      <c r="L151" t="s">
        <v>48</v>
      </c>
      <c r="M151" t="s">
        <v>15</v>
      </c>
    </row>
    <row r="152" spans="1:13" x14ac:dyDescent="0.3">
      <c r="A152" t="s">
        <v>218</v>
      </c>
      <c r="B152" t="s">
        <v>33</v>
      </c>
      <c r="C152" s="1">
        <v>45594</v>
      </c>
      <c r="D152" t="s">
        <v>51</v>
      </c>
      <c r="E152" t="s">
        <v>99</v>
      </c>
      <c r="F152">
        <v>2746</v>
      </c>
      <c r="G152">
        <v>156</v>
      </c>
      <c r="H152">
        <v>203</v>
      </c>
      <c r="I152">
        <v>32952</v>
      </c>
      <c r="J152">
        <v>32147</v>
      </c>
      <c r="K152">
        <v>147</v>
      </c>
      <c r="L152" t="s">
        <v>60</v>
      </c>
      <c r="M152" t="s">
        <v>7</v>
      </c>
    </row>
    <row r="153" spans="1:13" x14ac:dyDescent="0.3">
      <c r="A153" t="s">
        <v>219</v>
      </c>
      <c r="B153" t="s">
        <v>31</v>
      </c>
      <c r="C153" s="1">
        <v>45488</v>
      </c>
      <c r="D153" t="s">
        <v>68</v>
      </c>
      <c r="E153" t="s">
        <v>73</v>
      </c>
      <c r="F153">
        <v>2291</v>
      </c>
      <c r="G153">
        <v>78</v>
      </c>
      <c r="H153">
        <v>485</v>
      </c>
      <c r="I153">
        <v>18328</v>
      </c>
      <c r="J153">
        <v>18101</v>
      </c>
      <c r="K153">
        <v>10</v>
      </c>
      <c r="L153" t="s">
        <v>60</v>
      </c>
      <c r="M153" t="s">
        <v>11</v>
      </c>
    </row>
    <row r="154" spans="1:13" x14ac:dyDescent="0.3">
      <c r="A154" t="s">
        <v>219</v>
      </c>
      <c r="B154" t="s">
        <v>31</v>
      </c>
      <c r="C154" s="1">
        <v>45488</v>
      </c>
      <c r="D154" t="s">
        <v>68</v>
      </c>
      <c r="E154" t="s">
        <v>73</v>
      </c>
      <c r="F154">
        <v>2291</v>
      </c>
      <c r="G154">
        <v>78</v>
      </c>
      <c r="H154">
        <v>485</v>
      </c>
      <c r="I154">
        <v>18328</v>
      </c>
      <c r="J154">
        <v>18101</v>
      </c>
      <c r="K154">
        <v>10</v>
      </c>
      <c r="L154" t="s">
        <v>18</v>
      </c>
      <c r="M154" t="s">
        <v>11</v>
      </c>
    </row>
    <row r="155" spans="1:13" x14ac:dyDescent="0.3">
      <c r="A155" t="s">
        <v>220</v>
      </c>
      <c r="B155" t="s">
        <v>32</v>
      </c>
      <c r="C155" s="1">
        <v>45535</v>
      </c>
      <c r="D155" t="s">
        <v>68</v>
      </c>
      <c r="E155" t="s">
        <v>114</v>
      </c>
      <c r="F155">
        <v>3170</v>
      </c>
      <c r="G155">
        <v>857</v>
      </c>
      <c r="H155">
        <v>379</v>
      </c>
      <c r="I155">
        <v>19020</v>
      </c>
      <c r="J155">
        <v>18559</v>
      </c>
      <c r="K155">
        <v>240</v>
      </c>
      <c r="L155" t="s">
        <v>48</v>
      </c>
    </row>
    <row r="156" spans="1:13" x14ac:dyDescent="0.3">
      <c r="A156" t="s">
        <v>221</v>
      </c>
      <c r="B156" t="s">
        <v>33</v>
      </c>
      <c r="C156" s="1">
        <v>45741</v>
      </c>
      <c r="D156" t="s">
        <v>58</v>
      </c>
      <c r="E156" t="s">
        <v>127</v>
      </c>
      <c r="F156">
        <v>2070</v>
      </c>
      <c r="G156">
        <v>275</v>
      </c>
      <c r="H156">
        <v>386</v>
      </c>
      <c r="I156">
        <v>39330</v>
      </c>
      <c r="J156">
        <v>38627</v>
      </c>
      <c r="K156">
        <v>114</v>
      </c>
      <c r="L156" t="s">
        <v>48</v>
      </c>
      <c r="M156" t="s">
        <v>19</v>
      </c>
    </row>
    <row r="157" spans="1:13" x14ac:dyDescent="0.3">
      <c r="A157" t="s">
        <v>222</v>
      </c>
      <c r="B157" t="s">
        <v>33</v>
      </c>
      <c r="C157" s="1">
        <v>45567</v>
      </c>
      <c r="D157" t="s">
        <v>63</v>
      </c>
      <c r="E157" t="s">
        <v>78</v>
      </c>
      <c r="F157">
        <v>80</v>
      </c>
      <c r="G157">
        <v>362</v>
      </c>
      <c r="H157">
        <v>80</v>
      </c>
      <c r="I157">
        <v>1040</v>
      </c>
      <c r="J157">
        <v>349</v>
      </c>
      <c r="K157">
        <v>117</v>
      </c>
      <c r="L157" t="s">
        <v>53</v>
      </c>
      <c r="M157" t="s">
        <v>15</v>
      </c>
    </row>
    <row r="158" spans="1:13" x14ac:dyDescent="0.3">
      <c r="A158" t="s">
        <v>223</v>
      </c>
      <c r="B158" t="s">
        <v>33</v>
      </c>
      <c r="C158" s="1">
        <v>45593</v>
      </c>
      <c r="D158" t="s">
        <v>58</v>
      </c>
      <c r="E158" t="s">
        <v>127</v>
      </c>
      <c r="F158">
        <v>4929</v>
      </c>
      <c r="G158">
        <v>749</v>
      </c>
      <c r="H158">
        <v>452</v>
      </c>
      <c r="I158">
        <v>93651</v>
      </c>
      <c r="J158">
        <v>92810</v>
      </c>
      <c r="K158">
        <v>66</v>
      </c>
      <c r="L158" t="s">
        <v>60</v>
      </c>
      <c r="M158" t="s">
        <v>19</v>
      </c>
    </row>
    <row r="159" spans="1:13" x14ac:dyDescent="0.3">
      <c r="A159" t="s">
        <v>224</v>
      </c>
      <c r="B159" t="s">
        <v>30</v>
      </c>
      <c r="C159" s="1">
        <v>45516</v>
      </c>
      <c r="D159" t="s">
        <v>63</v>
      </c>
      <c r="E159" t="s">
        <v>91</v>
      </c>
      <c r="F159">
        <v>1878</v>
      </c>
      <c r="G159">
        <v>62</v>
      </c>
      <c r="H159">
        <v>179</v>
      </c>
      <c r="I159">
        <v>37560</v>
      </c>
      <c r="J159">
        <v>36874</v>
      </c>
      <c r="K159">
        <v>142</v>
      </c>
      <c r="L159" t="s">
        <v>53</v>
      </c>
      <c r="M159" t="s">
        <v>19</v>
      </c>
    </row>
    <row r="160" spans="1:13" x14ac:dyDescent="0.3">
      <c r="A160" t="s">
        <v>225</v>
      </c>
      <c r="B160" t="s">
        <v>33</v>
      </c>
      <c r="C160" s="1">
        <v>45448</v>
      </c>
      <c r="D160" t="s">
        <v>46</v>
      </c>
      <c r="E160" t="s">
        <v>56</v>
      </c>
      <c r="F160">
        <v>3065</v>
      </c>
      <c r="G160">
        <v>772</v>
      </c>
      <c r="H160">
        <v>142</v>
      </c>
      <c r="I160">
        <v>18390</v>
      </c>
      <c r="J160">
        <v>17875</v>
      </c>
      <c r="K160">
        <v>200</v>
      </c>
      <c r="L160" t="s">
        <v>60</v>
      </c>
    </row>
    <row r="161" spans="1:13" x14ac:dyDescent="0.3">
      <c r="A161" t="s">
        <v>225</v>
      </c>
      <c r="B161" t="s">
        <v>33</v>
      </c>
      <c r="C161" s="1">
        <v>45448</v>
      </c>
      <c r="D161" t="s">
        <v>46</v>
      </c>
      <c r="E161" t="s">
        <v>56</v>
      </c>
      <c r="F161">
        <v>3065</v>
      </c>
      <c r="G161">
        <v>772</v>
      </c>
      <c r="H161">
        <v>142</v>
      </c>
      <c r="I161">
        <v>18390</v>
      </c>
      <c r="J161">
        <v>17875</v>
      </c>
      <c r="K161">
        <v>200</v>
      </c>
      <c r="L161" t="s">
        <v>49</v>
      </c>
    </row>
    <row r="162" spans="1:13" x14ac:dyDescent="0.3">
      <c r="A162" t="s">
        <v>226</v>
      </c>
      <c r="B162" t="s">
        <v>30</v>
      </c>
      <c r="C162" s="1">
        <v>45586</v>
      </c>
      <c r="D162" t="s">
        <v>46</v>
      </c>
      <c r="E162" t="s">
        <v>87</v>
      </c>
      <c r="F162">
        <v>3256</v>
      </c>
      <c r="G162">
        <v>459</v>
      </c>
      <c r="H162">
        <v>266</v>
      </c>
      <c r="I162">
        <v>26048</v>
      </c>
      <c r="J162">
        <v>25529</v>
      </c>
      <c r="K162">
        <v>143</v>
      </c>
      <c r="L162" t="s">
        <v>53</v>
      </c>
      <c r="M162" t="s">
        <v>11</v>
      </c>
    </row>
    <row r="163" spans="1:13" x14ac:dyDescent="0.3">
      <c r="A163" t="s">
        <v>227</v>
      </c>
      <c r="B163" t="s">
        <v>30</v>
      </c>
      <c r="C163" s="1">
        <v>45762</v>
      </c>
      <c r="D163" t="s">
        <v>82</v>
      </c>
      <c r="E163" t="s">
        <v>89</v>
      </c>
      <c r="F163">
        <v>4133</v>
      </c>
      <c r="G163">
        <v>466</v>
      </c>
      <c r="H163">
        <v>327</v>
      </c>
      <c r="I163">
        <v>24798</v>
      </c>
      <c r="J163">
        <v>24620</v>
      </c>
      <c r="K163">
        <v>176</v>
      </c>
      <c r="L163" t="s">
        <v>60</v>
      </c>
      <c r="M163" t="s">
        <v>19</v>
      </c>
    </row>
    <row r="164" spans="1:13" x14ac:dyDescent="0.3">
      <c r="A164" t="s">
        <v>228</v>
      </c>
      <c r="B164" t="s">
        <v>32</v>
      </c>
      <c r="C164" s="1">
        <v>45459</v>
      </c>
      <c r="D164" t="s">
        <v>82</v>
      </c>
      <c r="E164" t="s">
        <v>121</v>
      </c>
      <c r="F164">
        <v>1702</v>
      </c>
      <c r="G164">
        <v>750</v>
      </c>
      <c r="H164">
        <v>179</v>
      </c>
      <c r="I164">
        <v>34040</v>
      </c>
      <c r="J164">
        <v>33174</v>
      </c>
      <c r="K164">
        <v>76</v>
      </c>
      <c r="L164" t="s">
        <v>60</v>
      </c>
      <c r="M164" t="s">
        <v>7</v>
      </c>
    </row>
    <row r="165" spans="1:13" x14ac:dyDescent="0.3">
      <c r="A165" t="s">
        <v>229</v>
      </c>
      <c r="B165" t="s">
        <v>33</v>
      </c>
      <c r="C165" s="1">
        <v>45526</v>
      </c>
      <c r="D165" t="s">
        <v>63</v>
      </c>
      <c r="E165" t="s">
        <v>78</v>
      </c>
      <c r="F165">
        <v>4295</v>
      </c>
      <c r="G165">
        <v>853</v>
      </c>
      <c r="H165">
        <v>325</v>
      </c>
      <c r="I165">
        <v>85900</v>
      </c>
      <c r="J165">
        <v>85788</v>
      </c>
      <c r="K165">
        <v>290</v>
      </c>
      <c r="L165" t="s">
        <v>53</v>
      </c>
      <c r="M165" t="s">
        <v>19</v>
      </c>
    </row>
    <row r="166" spans="1:13" x14ac:dyDescent="0.3">
      <c r="A166" t="s">
        <v>230</v>
      </c>
      <c r="B166" t="s">
        <v>30</v>
      </c>
      <c r="C166" s="1">
        <v>45499</v>
      </c>
      <c r="D166" t="s">
        <v>68</v>
      </c>
      <c r="E166" t="s">
        <v>160</v>
      </c>
      <c r="F166">
        <v>3559</v>
      </c>
      <c r="G166">
        <v>59</v>
      </c>
      <c r="H166">
        <v>289</v>
      </c>
      <c r="I166">
        <v>35590</v>
      </c>
      <c r="J166">
        <v>35105</v>
      </c>
      <c r="K166">
        <v>122</v>
      </c>
      <c r="L166" t="s">
        <v>60</v>
      </c>
      <c r="M166" t="s">
        <v>7</v>
      </c>
    </row>
    <row r="167" spans="1:13" x14ac:dyDescent="0.3">
      <c r="A167" t="s">
        <v>231</v>
      </c>
      <c r="B167" t="s">
        <v>31</v>
      </c>
      <c r="C167" s="1">
        <v>45769</v>
      </c>
      <c r="D167" t="s">
        <v>68</v>
      </c>
      <c r="E167" t="s">
        <v>73</v>
      </c>
      <c r="F167">
        <v>4804</v>
      </c>
      <c r="G167">
        <v>550</v>
      </c>
      <c r="H167">
        <v>270</v>
      </c>
      <c r="I167">
        <v>28824</v>
      </c>
      <c r="J167">
        <v>28370</v>
      </c>
      <c r="K167">
        <v>47</v>
      </c>
      <c r="L167" t="s">
        <v>60</v>
      </c>
      <c r="M167" t="s">
        <v>19</v>
      </c>
    </row>
    <row r="168" spans="1:13" x14ac:dyDescent="0.3">
      <c r="A168" t="s">
        <v>232</v>
      </c>
      <c r="B168" t="s">
        <v>32</v>
      </c>
      <c r="C168" s="1">
        <v>45658</v>
      </c>
      <c r="D168" t="s">
        <v>82</v>
      </c>
      <c r="E168" t="s">
        <v>121</v>
      </c>
      <c r="F168">
        <v>754</v>
      </c>
      <c r="G168">
        <v>197</v>
      </c>
      <c r="H168">
        <v>257</v>
      </c>
      <c r="I168">
        <v>6786</v>
      </c>
      <c r="J168">
        <v>6221</v>
      </c>
      <c r="K168">
        <v>212</v>
      </c>
      <c r="L168" t="s">
        <v>53</v>
      </c>
      <c r="M168" t="s">
        <v>15</v>
      </c>
    </row>
    <row r="169" spans="1:13" x14ac:dyDescent="0.3">
      <c r="A169" t="s">
        <v>233</v>
      </c>
      <c r="B169" t="s">
        <v>30</v>
      </c>
      <c r="C169" s="1">
        <v>45574</v>
      </c>
      <c r="D169" t="s">
        <v>63</v>
      </c>
      <c r="E169" t="s">
        <v>91</v>
      </c>
      <c r="F169">
        <v>985</v>
      </c>
      <c r="G169">
        <v>932</v>
      </c>
      <c r="H169">
        <v>287</v>
      </c>
      <c r="I169">
        <v>6895</v>
      </c>
      <c r="J169">
        <v>6757</v>
      </c>
      <c r="K169">
        <v>64</v>
      </c>
      <c r="L169" t="s">
        <v>48</v>
      </c>
      <c r="M169" t="s">
        <v>19</v>
      </c>
    </row>
    <row r="170" spans="1:13" x14ac:dyDescent="0.3">
      <c r="A170" t="s">
        <v>234</v>
      </c>
      <c r="B170" t="s">
        <v>33</v>
      </c>
      <c r="C170" s="1">
        <v>45647</v>
      </c>
      <c r="D170" t="s">
        <v>68</v>
      </c>
      <c r="E170" t="s">
        <v>69</v>
      </c>
      <c r="F170">
        <v>2283</v>
      </c>
      <c r="G170">
        <v>210</v>
      </c>
      <c r="H170">
        <v>130</v>
      </c>
      <c r="I170">
        <v>22830</v>
      </c>
      <c r="J170">
        <v>22617</v>
      </c>
      <c r="K170">
        <v>143</v>
      </c>
      <c r="L170" t="s">
        <v>48</v>
      </c>
      <c r="M170" t="s">
        <v>11</v>
      </c>
    </row>
    <row r="171" spans="1:13" x14ac:dyDescent="0.3">
      <c r="A171" t="s">
        <v>235</v>
      </c>
      <c r="B171" t="s">
        <v>31</v>
      </c>
      <c r="C171" s="1">
        <v>45587</v>
      </c>
      <c r="D171" t="s">
        <v>63</v>
      </c>
      <c r="E171" t="s">
        <v>64</v>
      </c>
      <c r="F171">
        <v>3352</v>
      </c>
      <c r="G171">
        <v>941</v>
      </c>
      <c r="H171">
        <v>482</v>
      </c>
      <c r="I171">
        <v>43576</v>
      </c>
      <c r="J171">
        <v>43338</v>
      </c>
      <c r="K171">
        <v>240</v>
      </c>
      <c r="L171" t="s">
        <v>48</v>
      </c>
      <c r="M171" t="s">
        <v>11</v>
      </c>
    </row>
    <row r="172" spans="1:13" x14ac:dyDescent="0.3">
      <c r="A172" t="s">
        <v>236</v>
      </c>
      <c r="B172" t="s">
        <v>33</v>
      </c>
      <c r="C172" s="1">
        <v>45496</v>
      </c>
      <c r="D172" t="s">
        <v>58</v>
      </c>
      <c r="E172" t="s">
        <v>127</v>
      </c>
      <c r="F172">
        <v>4775</v>
      </c>
      <c r="G172">
        <v>173</v>
      </c>
      <c r="H172">
        <v>206</v>
      </c>
      <c r="I172">
        <v>47750</v>
      </c>
      <c r="J172">
        <v>47544</v>
      </c>
      <c r="K172">
        <v>187</v>
      </c>
      <c r="L172" t="s">
        <v>48</v>
      </c>
      <c r="M172" t="s">
        <v>11</v>
      </c>
    </row>
    <row r="173" spans="1:13" x14ac:dyDescent="0.3">
      <c r="A173" t="s">
        <v>237</v>
      </c>
      <c r="B173" t="s">
        <v>30</v>
      </c>
      <c r="C173" s="1">
        <v>45515</v>
      </c>
      <c r="D173" t="s">
        <v>58</v>
      </c>
      <c r="E173" t="s">
        <v>59</v>
      </c>
      <c r="F173">
        <v>1762</v>
      </c>
      <c r="G173">
        <v>405</v>
      </c>
      <c r="H173">
        <v>423</v>
      </c>
      <c r="I173">
        <v>22906</v>
      </c>
      <c r="J173">
        <v>21925</v>
      </c>
      <c r="K173">
        <v>25</v>
      </c>
      <c r="L173" t="s">
        <v>53</v>
      </c>
      <c r="M173" t="s">
        <v>7</v>
      </c>
    </row>
    <row r="174" spans="1:13" x14ac:dyDescent="0.3">
      <c r="A174" t="s">
        <v>238</v>
      </c>
      <c r="B174" t="s">
        <v>31</v>
      </c>
      <c r="C174" s="1">
        <v>45621</v>
      </c>
      <c r="D174" t="s">
        <v>58</v>
      </c>
      <c r="E174" t="s">
        <v>80</v>
      </c>
      <c r="F174">
        <v>2120</v>
      </c>
      <c r="G174">
        <v>158</v>
      </c>
      <c r="H174">
        <v>488</v>
      </c>
      <c r="I174">
        <v>12720</v>
      </c>
      <c r="J174">
        <v>12085</v>
      </c>
      <c r="K174">
        <v>17</v>
      </c>
      <c r="L174" t="s">
        <v>48</v>
      </c>
      <c r="M174" t="s">
        <v>11</v>
      </c>
    </row>
    <row r="175" spans="1:13" x14ac:dyDescent="0.3">
      <c r="A175" t="s">
        <v>239</v>
      </c>
      <c r="B175" t="s">
        <v>32</v>
      </c>
      <c r="C175" s="1">
        <v>45528</v>
      </c>
      <c r="D175" t="s">
        <v>82</v>
      </c>
      <c r="E175" t="s">
        <v>121</v>
      </c>
      <c r="F175">
        <v>1082</v>
      </c>
      <c r="G175">
        <v>209</v>
      </c>
      <c r="H175">
        <v>484</v>
      </c>
      <c r="I175">
        <v>19476</v>
      </c>
      <c r="J175">
        <v>18654</v>
      </c>
      <c r="K175">
        <v>20</v>
      </c>
      <c r="L175" t="s">
        <v>53</v>
      </c>
    </row>
    <row r="176" spans="1:13" x14ac:dyDescent="0.3">
      <c r="A176" t="s">
        <v>240</v>
      </c>
      <c r="B176" t="s">
        <v>32</v>
      </c>
      <c r="C176" s="1">
        <v>45707</v>
      </c>
      <c r="D176" t="s">
        <v>51</v>
      </c>
      <c r="E176" t="s">
        <v>52</v>
      </c>
      <c r="F176">
        <v>4671</v>
      </c>
      <c r="G176">
        <v>876</v>
      </c>
      <c r="H176">
        <v>366</v>
      </c>
      <c r="I176">
        <v>51381</v>
      </c>
      <c r="J176">
        <v>50565</v>
      </c>
      <c r="K176">
        <v>245</v>
      </c>
      <c r="L176" t="s">
        <v>53</v>
      </c>
      <c r="M176" t="s">
        <v>19</v>
      </c>
    </row>
    <row r="177" spans="1:13" x14ac:dyDescent="0.3">
      <c r="A177" t="s">
        <v>241</v>
      </c>
      <c r="B177" t="s">
        <v>31</v>
      </c>
      <c r="C177" s="1">
        <v>45748</v>
      </c>
      <c r="D177" t="s">
        <v>58</v>
      </c>
      <c r="E177" t="s">
        <v>80</v>
      </c>
      <c r="F177">
        <v>3430</v>
      </c>
      <c r="G177">
        <v>566</v>
      </c>
      <c r="H177">
        <v>164</v>
      </c>
      <c r="I177">
        <v>48020</v>
      </c>
      <c r="J177">
        <v>47305</v>
      </c>
      <c r="K177">
        <v>120</v>
      </c>
      <c r="L177" t="s">
        <v>48</v>
      </c>
    </row>
    <row r="178" spans="1:13" x14ac:dyDescent="0.3">
      <c r="A178" t="s">
        <v>242</v>
      </c>
      <c r="B178" t="s">
        <v>30</v>
      </c>
      <c r="C178" s="1">
        <v>45755</v>
      </c>
      <c r="D178" t="s">
        <v>68</v>
      </c>
      <c r="E178" t="s">
        <v>160</v>
      </c>
      <c r="F178">
        <v>4501</v>
      </c>
      <c r="G178">
        <v>375</v>
      </c>
      <c r="H178">
        <v>323</v>
      </c>
      <c r="I178">
        <v>22505</v>
      </c>
      <c r="J178">
        <v>21836</v>
      </c>
      <c r="K178">
        <v>132</v>
      </c>
      <c r="L178" t="s">
        <v>53</v>
      </c>
      <c r="M178" t="s">
        <v>11</v>
      </c>
    </row>
    <row r="179" spans="1:13" x14ac:dyDescent="0.3">
      <c r="A179" t="s">
        <v>243</v>
      </c>
      <c r="B179" t="s">
        <v>33</v>
      </c>
      <c r="C179" s="1">
        <v>45715</v>
      </c>
      <c r="D179" t="s">
        <v>51</v>
      </c>
      <c r="E179" t="s">
        <v>99</v>
      </c>
      <c r="F179">
        <v>4934</v>
      </c>
      <c r="G179">
        <v>971</v>
      </c>
      <c r="H179">
        <v>156</v>
      </c>
      <c r="I179">
        <v>39472</v>
      </c>
      <c r="J179">
        <v>39025</v>
      </c>
      <c r="K179">
        <v>169</v>
      </c>
      <c r="L179" t="s">
        <v>53</v>
      </c>
      <c r="M179" t="s">
        <v>19</v>
      </c>
    </row>
    <row r="180" spans="1:13" x14ac:dyDescent="0.3">
      <c r="A180" t="s">
        <v>243</v>
      </c>
      <c r="B180" t="s">
        <v>33</v>
      </c>
      <c r="C180" s="1">
        <v>45715</v>
      </c>
      <c r="D180" t="s">
        <v>51</v>
      </c>
      <c r="E180" t="s">
        <v>99</v>
      </c>
      <c r="F180">
        <v>4934</v>
      </c>
      <c r="G180">
        <v>971</v>
      </c>
      <c r="H180">
        <v>156</v>
      </c>
      <c r="I180">
        <v>39472</v>
      </c>
      <c r="J180">
        <v>39025</v>
      </c>
      <c r="K180">
        <v>169</v>
      </c>
      <c r="L180" t="s">
        <v>49</v>
      </c>
      <c r="M180" t="s">
        <v>19</v>
      </c>
    </row>
    <row r="181" spans="1:13" x14ac:dyDescent="0.3">
      <c r="A181" t="s">
        <v>244</v>
      </c>
      <c r="B181" t="s">
        <v>32</v>
      </c>
      <c r="C181" s="1">
        <v>45637</v>
      </c>
      <c r="D181" t="s">
        <v>51</v>
      </c>
      <c r="E181" t="s">
        <v>52</v>
      </c>
      <c r="F181">
        <v>3239</v>
      </c>
      <c r="G181">
        <v>43</v>
      </c>
      <c r="H181">
        <v>211</v>
      </c>
      <c r="I181">
        <v>22673</v>
      </c>
      <c r="J181">
        <v>22171</v>
      </c>
      <c r="K181">
        <v>230</v>
      </c>
      <c r="L181" t="s">
        <v>53</v>
      </c>
      <c r="M181" t="s">
        <v>11</v>
      </c>
    </row>
    <row r="182" spans="1:13" x14ac:dyDescent="0.3">
      <c r="A182" t="s">
        <v>245</v>
      </c>
      <c r="B182" t="s">
        <v>32</v>
      </c>
      <c r="C182" s="1">
        <v>45704</v>
      </c>
      <c r="D182" t="s">
        <v>46</v>
      </c>
      <c r="E182" t="s">
        <v>47</v>
      </c>
      <c r="F182">
        <v>1076</v>
      </c>
      <c r="G182">
        <v>313</v>
      </c>
      <c r="H182">
        <v>306</v>
      </c>
      <c r="I182">
        <v>11836</v>
      </c>
      <c r="J182">
        <v>11596</v>
      </c>
      <c r="K182">
        <v>104</v>
      </c>
      <c r="L182" t="s">
        <v>48</v>
      </c>
      <c r="M182" t="s">
        <v>7</v>
      </c>
    </row>
    <row r="183" spans="1:13" x14ac:dyDescent="0.3">
      <c r="A183" t="s">
        <v>246</v>
      </c>
      <c r="B183" t="s">
        <v>30</v>
      </c>
      <c r="C183" s="1">
        <v>45624</v>
      </c>
      <c r="D183" t="s">
        <v>51</v>
      </c>
      <c r="E183" t="s">
        <v>104</v>
      </c>
      <c r="F183">
        <v>4771</v>
      </c>
      <c r="G183">
        <v>818</v>
      </c>
      <c r="H183">
        <v>56</v>
      </c>
      <c r="I183">
        <v>57252</v>
      </c>
      <c r="J183">
        <v>56378</v>
      </c>
      <c r="K183">
        <v>150</v>
      </c>
      <c r="L183" t="s">
        <v>48</v>
      </c>
    </row>
    <row r="184" spans="1:13" x14ac:dyDescent="0.3">
      <c r="A184" t="s">
        <v>247</v>
      </c>
      <c r="B184" t="s">
        <v>31</v>
      </c>
      <c r="C184" s="1">
        <v>45608</v>
      </c>
      <c r="D184" t="s">
        <v>51</v>
      </c>
      <c r="E184" t="s">
        <v>71</v>
      </c>
      <c r="F184">
        <v>2418</v>
      </c>
      <c r="G184">
        <v>754</v>
      </c>
      <c r="H184">
        <v>54</v>
      </c>
      <c r="I184">
        <v>43524</v>
      </c>
      <c r="J184">
        <v>42743</v>
      </c>
      <c r="K184">
        <v>182</v>
      </c>
      <c r="L184" t="s">
        <v>60</v>
      </c>
      <c r="M184" t="s">
        <v>7</v>
      </c>
    </row>
    <row r="185" spans="1:13" x14ac:dyDescent="0.3">
      <c r="A185" t="s">
        <v>248</v>
      </c>
      <c r="B185" t="s">
        <v>33</v>
      </c>
      <c r="C185" s="1">
        <v>45629</v>
      </c>
      <c r="D185" t="s">
        <v>82</v>
      </c>
      <c r="E185" t="s">
        <v>162</v>
      </c>
      <c r="F185">
        <v>3809</v>
      </c>
      <c r="G185">
        <v>273</v>
      </c>
      <c r="H185">
        <v>200</v>
      </c>
      <c r="I185">
        <v>34281</v>
      </c>
      <c r="J185">
        <v>33534</v>
      </c>
      <c r="K185">
        <v>83</v>
      </c>
      <c r="L185" t="s">
        <v>60</v>
      </c>
      <c r="M185" t="s">
        <v>7</v>
      </c>
    </row>
    <row r="186" spans="1:13" x14ac:dyDescent="0.3">
      <c r="A186" t="s">
        <v>249</v>
      </c>
      <c r="B186" t="s">
        <v>32</v>
      </c>
      <c r="C186" s="1">
        <v>45775</v>
      </c>
      <c r="D186" t="s">
        <v>51</v>
      </c>
      <c r="E186" t="s">
        <v>52</v>
      </c>
      <c r="F186">
        <v>3577</v>
      </c>
      <c r="G186">
        <v>596</v>
      </c>
      <c r="H186">
        <v>493</v>
      </c>
      <c r="I186">
        <v>67963</v>
      </c>
      <c r="J186">
        <v>67839</v>
      </c>
      <c r="K186">
        <v>53</v>
      </c>
      <c r="L186" t="s">
        <v>53</v>
      </c>
      <c r="M186" t="s">
        <v>15</v>
      </c>
    </row>
    <row r="187" spans="1:13" x14ac:dyDescent="0.3">
      <c r="A187" t="s">
        <v>250</v>
      </c>
      <c r="B187" t="s">
        <v>33</v>
      </c>
      <c r="C187" s="1">
        <v>45657</v>
      </c>
      <c r="D187" t="s">
        <v>82</v>
      </c>
      <c r="E187" t="s">
        <v>162</v>
      </c>
      <c r="F187">
        <v>1018</v>
      </c>
      <c r="G187">
        <v>447</v>
      </c>
      <c r="H187">
        <v>332</v>
      </c>
      <c r="I187">
        <v>18324</v>
      </c>
      <c r="J187">
        <v>18164</v>
      </c>
      <c r="K187">
        <v>38</v>
      </c>
      <c r="L187" t="s">
        <v>48</v>
      </c>
      <c r="M187" t="s">
        <v>11</v>
      </c>
    </row>
    <row r="188" spans="1:13" x14ac:dyDescent="0.3">
      <c r="A188" t="s">
        <v>251</v>
      </c>
      <c r="B188" t="s">
        <v>31</v>
      </c>
      <c r="C188" s="1">
        <v>45518</v>
      </c>
      <c r="D188" t="s">
        <v>63</v>
      </c>
      <c r="E188" t="s">
        <v>64</v>
      </c>
      <c r="F188">
        <v>3073</v>
      </c>
      <c r="G188">
        <v>553</v>
      </c>
      <c r="H188">
        <v>174</v>
      </c>
      <c r="I188">
        <v>52241</v>
      </c>
      <c r="J188">
        <v>51605</v>
      </c>
      <c r="K188">
        <v>246</v>
      </c>
      <c r="L188" t="s">
        <v>60</v>
      </c>
      <c r="M188" t="s">
        <v>15</v>
      </c>
    </row>
    <row r="189" spans="1:13" x14ac:dyDescent="0.3">
      <c r="A189" t="s">
        <v>252</v>
      </c>
      <c r="B189" t="s">
        <v>32</v>
      </c>
      <c r="C189" s="1">
        <v>45631</v>
      </c>
      <c r="D189" t="s">
        <v>82</v>
      </c>
      <c r="E189" t="s">
        <v>121</v>
      </c>
      <c r="F189">
        <v>1330</v>
      </c>
      <c r="G189">
        <v>925</v>
      </c>
      <c r="H189">
        <v>35</v>
      </c>
      <c r="I189">
        <v>15960</v>
      </c>
      <c r="J189">
        <v>15379</v>
      </c>
      <c r="K189">
        <v>229</v>
      </c>
      <c r="L189" t="s">
        <v>48</v>
      </c>
      <c r="M189" t="s">
        <v>15</v>
      </c>
    </row>
    <row r="190" spans="1:13" x14ac:dyDescent="0.3">
      <c r="A190" t="s">
        <v>253</v>
      </c>
      <c r="B190" t="s">
        <v>31</v>
      </c>
      <c r="C190" s="1">
        <v>45465</v>
      </c>
      <c r="D190" t="s">
        <v>51</v>
      </c>
      <c r="E190" t="s">
        <v>71</v>
      </c>
      <c r="F190">
        <v>3828</v>
      </c>
      <c r="G190">
        <v>148</v>
      </c>
      <c r="H190">
        <v>253</v>
      </c>
      <c r="I190">
        <v>30624</v>
      </c>
      <c r="J190">
        <v>30229</v>
      </c>
      <c r="K190">
        <v>235</v>
      </c>
      <c r="L190" t="s">
        <v>60</v>
      </c>
    </row>
    <row r="191" spans="1:13" x14ac:dyDescent="0.3">
      <c r="A191" t="s">
        <v>254</v>
      </c>
      <c r="B191" t="s">
        <v>30</v>
      </c>
      <c r="C191" s="1">
        <v>45674</v>
      </c>
      <c r="D191" t="s">
        <v>46</v>
      </c>
      <c r="E191" t="s">
        <v>87</v>
      </c>
      <c r="F191">
        <v>142</v>
      </c>
      <c r="G191">
        <v>784</v>
      </c>
      <c r="H191">
        <v>183</v>
      </c>
      <c r="I191">
        <v>1704</v>
      </c>
      <c r="J191">
        <v>995</v>
      </c>
      <c r="K191">
        <v>154</v>
      </c>
      <c r="L191" t="s">
        <v>48</v>
      </c>
      <c r="M191" t="s">
        <v>19</v>
      </c>
    </row>
    <row r="192" spans="1:13" x14ac:dyDescent="0.3">
      <c r="A192" t="s">
        <v>255</v>
      </c>
      <c r="B192" t="s">
        <v>31</v>
      </c>
      <c r="C192" s="1">
        <v>45463</v>
      </c>
      <c r="D192" t="s">
        <v>82</v>
      </c>
      <c r="E192" t="s">
        <v>83</v>
      </c>
      <c r="F192">
        <v>3798</v>
      </c>
      <c r="G192">
        <v>31</v>
      </c>
      <c r="H192">
        <v>279</v>
      </c>
      <c r="I192">
        <v>75960</v>
      </c>
      <c r="J192">
        <v>75813</v>
      </c>
      <c r="K192">
        <v>266</v>
      </c>
      <c r="L192" t="s">
        <v>53</v>
      </c>
      <c r="M192" t="s">
        <v>7</v>
      </c>
    </row>
    <row r="193" spans="1:13" x14ac:dyDescent="0.3">
      <c r="A193" t="s">
        <v>256</v>
      </c>
      <c r="B193" t="s">
        <v>30</v>
      </c>
      <c r="C193" s="1">
        <v>45483</v>
      </c>
      <c r="D193" t="s">
        <v>63</v>
      </c>
      <c r="E193" t="s">
        <v>91</v>
      </c>
      <c r="F193">
        <v>3099</v>
      </c>
      <c r="G193">
        <v>694</v>
      </c>
      <c r="H193">
        <v>171</v>
      </c>
      <c r="I193">
        <v>43386</v>
      </c>
      <c r="J193">
        <v>42921</v>
      </c>
      <c r="K193">
        <v>52</v>
      </c>
      <c r="L193" t="s">
        <v>53</v>
      </c>
      <c r="M193" t="s">
        <v>15</v>
      </c>
    </row>
    <row r="194" spans="1:13" x14ac:dyDescent="0.3">
      <c r="A194" t="s">
        <v>257</v>
      </c>
      <c r="B194" t="s">
        <v>30</v>
      </c>
      <c r="C194" s="1">
        <v>45603</v>
      </c>
      <c r="D194" t="s">
        <v>82</v>
      </c>
      <c r="E194" t="s">
        <v>89</v>
      </c>
      <c r="F194">
        <v>129</v>
      </c>
      <c r="G194">
        <v>643</v>
      </c>
      <c r="H194">
        <v>136</v>
      </c>
      <c r="I194">
        <v>1290</v>
      </c>
      <c r="J194">
        <v>839</v>
      </c>
      <c r="K194">
        <v>238</v>
      </c>
      <c r="L194" t="s">
        <v>53</v>
      </c>
      <c r="M194" t="s">
        <v>19</v>
      </c>
    </row>
    <row r="195" spans="1:13" x14ac:dyDescent="0.3">
      <c r="A195" t="s">
        <v>258</v>
      </c>
      <c r="B195" t="s">
        <v>31</v>
      </c>
      <c r="C195" s="1">
        <v>45488</v>
      </c>
      <c r="D195" t="s">
        <v>63</v>
      </c>
      <c r="E195" t="s">
        <v>64</v>
      </c>
      <c r="F195">
        <v>3796</v>
      </c>
      <c r="G195">
        <v>667</v>
      </c>
      <c r="H195">
        <v>395</v>
      </c>
      <c r="I195">
        <v>64532</v>
      </c>
      <c r="J195">
        <v>63550</v>
      </c>
      <c r="K195">
        <v>292</v>
      </c>
      <c r="L195" t="s">
        <v>53</v>
      </c>
    </row>
    <row r="196" spans="1:13" x14ac:dyDescent="0.3">
      <c r="A196" t="s">
        <v>259</v>
      </c>
      <c r="B196" t="s">
        <v>33</v>
      </c>
      <c r="C196" s="1">
        <v>45629</v>
      </c>
      <c r="D196" t="s">
        <v>51</v>
      </c>
      <c r="E196" t="s">
        <v>99</v>
      </c>
      <c r="F196">
        <v>3711</v>
      </c>
      <c r="G196">
        <v>352</v>
      </c>
      <c r="H196">
        <v>290</v>
      </c>
      <c r="I196">
        <v>48243</v>
      </c>
      <c r="J196">
        <v>47579</v>
      </c>
      <c r="K196">
        <v>11</v>
      </c>
      <c r="L196" t="s">
        <v>53</v>
      </c>
      <c r="M196" t="s">
        <v>7</v>
      </c>
    </row>
    <row r="197" spans="1:13" x14ac:dyDescent="0.3">
      <c r="A197" t="s">
        <v>260</v>
      </c>
      <c r="B197" t="s">
        <v>33</v>
      </c>
      <c r="C197" s="1">
        <v>45737</v>
      </c>
      <c r="D197" t="s">
        <v>68</v>
      </c>
      <c r="E197" t="s">
        <v>69</v>
      </c>
      <c r="F197">
        <v>606</v>
      </c>
      <c r="G197">
        <v>789</v>
      </c>
      <c r="H197">
        <v>470</v>
      </c>
      <c r="I197">
        <v>7878</v>
      </c>
      <c r="J197">
        <v>7389</v>
      </c>
      <c r="K197">
        <v>239</v>
      </c>
      <c r="L197" t="s">
        <v>60</v>
      </c>
      <c r="M197" t="s">
        <v>15</v>
      </c>
    </row>
    <row r="198" spans="1:13" x14ac:dyDescent="0.3">
      <c r="A198" t="s">
        <v>261</v>
      </c>
      <c r="B198" t="s">
        <v>31</v>
      </c>
      <c r="C198" s="1">
        <v>45504</v>
      </c>
      <c r="D198" t="s">
        <v>68</v>
      </c>
      <c r="E198" t="s">
        <v>73</v>
      </c>
      <c r="F198">
        <v>4689</v>
      </c>
      <c r="G198">
        <v>134</v>
      </c>
      <c r="H198">
        <v>403</v>
      </c>
      <c r="I198">
        <v>51579</v>
      </c>
      <c r="J198">
        <v>50924</v>
      </c>
      <c r="K198">
        <v>173</v>
      </c>
      <c r="L198" t="s">
        <v>53</v>
      </c>
      <c r="M198" t="s">
        <v>19</v>
      </c>
    </row>
    <row r="199" spans="1:13" x14ac:dyDescent="0.3">
      <c r="A199" t="s">
        <v>262</v>
      </c>
      <c r="B199" t="s">
        <v>30</v>
      </c>
      <c r="C199" s="1">
        <v>45643</v>
      </c>
      <c r="D199" t="s">
        <v>58</v>
      </c>
      <c r="E199" t="s">
        <v>59</v>
      </c>
      <c r="F199">
        <v>360</v>
      </c>
      <c r="G199">
        <v>590</v>
      </c>
      <c r="H199">
        <v>393</v>
      </c>
      <c r="I199">
        <v>4680</v>
      </c>
      <c r="J199">
        <v>4322</v>
      </c>
      <c r="K199">
        <v>208</v>
      </c>
      <c r="L199" t="s">
        <v>48</v>
      </c>
      <c r="M199" t="s">
        <v>11</v>
      </c>
    </row>
    <row r="200" spans="1:13" x14ac:dyDescent="0.3">
      <c r="A200" t="s">
        <v>263</v>
      </c>
      <c r="B200" t="s">
        <v>32</v>
      </c>
      <c r="C200" s="1">
        <v>45501</v>
      </c>
      <c r="D200" t="s">
        <v>68</v>
      </c>
      <c r="E200" t="s">
        <v>114</v>
      </c>
      <c r="F200">
        <v>3215</v>
      </c>
      <c r="G200">
        <v>960</v>
      </c>
      <c r="H200">
        <v>202</v>
      </c>
      <c r="I200">
        <v>32150</v>
      </c>
      <c r="J200">
        <v>31404</v>
      </c>
      <c r="K200">
        <v>251</v>
      </c>
      <c r="L200" t="s">
        <v>60</v>
      </c>
      <c r="M200" t="s">
        <v>7</v>
      </c>
    </row>
    <row r="201" spans="1:13" x14ac:dyDescent="0.3">
      <c r="A201" t="s">
        <v>264</v>
      </c>
      <c r="B201" t="s">
        <v>30</v>
      </c>
      <c r="C201" s="1">
        <v>45668</v>
      </c>
      <c r="D201" t="s">
        <v>63</v>
      </c>
      <c r="E201" t="s">
        <v>91</v>
      </c>
      <c r="F201">
        <v>4523</v>
      </c>
      <c r="G201">
        <v>61</v>
      </c>
      <c r="H201">
        <v>157</v>
      </c>
      <c r="I201">
        <v>49753</v>
      </c>
      <c r="J201">
        <v>49329</v>
      </c>
      <c r="K201">
        <v>71</v>
      </c>
      <c r="L201" t="s">
        <v>60</v>
      </c>
    </row>
    <row r="202" spans="1:13" x14ac:dyDescent="0.3">
      <c r="A202" t="s">
        <v>265</v>
      </c>
      <c r="B202" t="s">
        <v>31</v>
      </c>
      <c r="C202" s="1">
        <v>45528</v>
      </c>
      <c r="D202" t="s">
        <v>63</v>
      </c>
      <c r="E202" t="s">
        <v>64</v>
      </c>
      <c r="F202">
        <v>4292</v>
      </c>
      <c r="G202">
        <v>51</v>
      </c>
      <c r="H202">
        <v>392</v>
      </c>
      <c r="I202">
        <v>55796</v>
      </c>
      <c r="J202">
        <v>54826</v>
      </c>
      <c r="K202">
        <v>264</v>
      </c>
      <c r="L202" t="s">
        <v>60</v>
      </c>
      <c r="M202" t="s">
        <v>15</v>
      </c>
    </row>
    <row r="203" spans="1:13" x14ac:dyDescent="0.3">
      <c r="A203" t="s">
        <v>266</v>
      </c>
      <c r="B203" t="s">
        <v>32</v>
      </c>
      <c r="C203" s="1">
        <v>45648</v>
      </c>
      <c r="D203" t="s">
        <v>46</v>
      </c>
      <c r="E203" t="s">
        <v>47</v>
      </c>
      <c r="F203">
        <v>1644</v>
      </c>
      <c r="G203">
        <v>546</v>
      </c>
      <c r="H203">
        <v>150</v>
      </c>
      <c r="I203">
        <v>27948</v>
      </c>
      <c r="J203">
        <v>27184</v>
      </c>
      <c r="K203">
        <v>300</v>
      </c>
      <c r="L203" t="s">
        <v>60</v>
      </c>
      <c r="M203" t="s">
        <v>15</v>
      </c>
    </row>
    <row r="204" spans="1:13" x14ac:dyDescent="0.3">
      <c r="A204" t="s">
        <v>267</v>
      </c>
      <c r="B204" t="s">
        <v>33</v>
      </c>
      <c r="C204" s="1">
        <v>45449</v>
      </c>
      <c r="D204" t="s">
        <v>46</v>
      </c>
      <c r="E204" t="s">
        <v>56</v>
      </c>
      <c r="F204">
        <v>2728</v>
      </c>
      <c r="G204">
        <v>533</v>
      </c>
      <c r="H204">
        <v>215</v>
      </c>
      <c r="I204">
        <v>40920</v>
      </c>
      <c r="J204">
        <v>40816</v>
      </c>
      <c r="K204">
        <v>137</v>
      </c>
      <c r="L204" t="s">
        <v>48</v>
      </c>
      <c r="M204" t="s">
        <v>11</v>
      </c>
    </row>
    <row r="205" spans="1:13" x14ac:dyDescent="0.3">
      <c r="A205" t="s">
        <v>268</v>
      </c>
      <c r="B205" t="s">
        <v>31</v>
      </c>
      <c r="C205" s="1">
        <v>45740</v>
      </c>
      <c r="D205" t="s">
        <v>46</v>
      </c>
      <c r="E205" t="s">
        <v>76</v>
      </c>
      <c r="F205">
        <v>3360</v>
      </c>
      <c r="G205">
        <v>525</v>
      </c>
      <c r="H205">
        <v>500</v>
      </c>
      <c r="I205">
        <v>60480</v>
      </c>
      <c r="J205">
        <v>59610</v>
      </c>
      <c r="K205">
        <v>192</v>
      </c>
      <c r="L205" t="s">
        <v>53</v>
      </c>
      <c r="M205" t="s">
        <v>7</v>
      </c>
    </row>
    <row r="206" spans="1:13" x14ac:dyDescent="0.3">
      <c r="A206" t="s">
        <v>269</v>
      </c>
      <c r="B206" t="s">
        <v>33</v>
      </c>
      <c r="C206" s="1">
        <v>45569</v>
      </c>
      <c r="D206" t="s">
        <v>51</v>
      </c>
      <c r="E206" t="s">
        <v>99</v>
      </c>
      <c r="F206">
        <v>1963</v>
      </c>
      <c r="G206">
        <v>213</v>
      </c>
      <c r="H206">
        <v>19</v>
      </c>
      <c r="I206">
        <v>39260</v>
      </c>
      <c r="J206">
        <v>38771</v>
      </c>
      <c r="K206">
        <v>145</v>
      </c>
      <c r="L206" t="s">
        <v>48</v>
      </c>
    </row>
    <row r="207" spans="1:13" x14ac:dyDescent="0.3">
      <c r="A207" t="s">
        <v>270</v>
      </c>
      <c r="B207" t="s">
        <v>33</v>
      </c>
      <c r="C207" s="1">
        <v>45629</v>
      </c>
      <c r="D207" t="s">
        <v>58</v>
      </c>
      <c r="E207" t="s">
        <v>127</v>
      </c>
      <c r="F207">
        <v>4285</v>
      </c>
      <c r="G207">
        <v>886</v>
      </c>
      <c r="H207">
        <v>376</v>
      </c>
      <c r="I207">
        <v>55705</v>
      </c>
      <c r="J207">
        <v>55556</v>
      </c>
      <c r="K207">
        <v>51</v>
      </c>
      <c r="L207" t="s">
        <v>48</v>
      </c>
      <c r="M207" t="s">
        <v>15</v>
      </c>
    </row>
    <row r="208" spans="1:13" x14ac:dyDescent="0.3">
      <c r="A208" t="s">
        <v>271</v>
      </c>
      <c r="B208" t="s">
        <v>30</v>
      </c>
      <c r="C208" s="1">
        <v>45625</v>
      </c>
      <c r="D208" t="s">
        <v>82</v>
      </c>
      <c r="E208" t="s">
        <v>89</v>
      </c>
      <c r="F208">
        <v>1176</v>
      </c>
      <c r="G208">
        <v>464</v>
      </c>
      <c r="H208">
        <v>394</v>
      </c>
      <c r="I208">
        <v>14112</v>
      </c>
      <c r="J208">
        <v>13588</v>
      </c>
      <c r="K208">
        <v>272</v>
      </c>
      <c r="L208" t="s">
        <v>60</v>
      </c>
    </row>
    <row r="209" spans="1:13" x14ac:dyDescent="0.3">
      <c r="A209" t="s">
        <v>272</v>
      </c>
      <c r="B209" t="s">
        <v>32</v>
      </c>
      <c r="C209" s="1">
        <v>45546</v>
      </c>
      <c r="D209" t="s">
        <v>68</v>
      </c>
      <c r="E209" t="s">
        <v>114</v>
      </c>
      <c r="F209">
        <v>4858</v>
      </c>
      <c r="G209">
        <v>317</v>
      </c>
      <c r="H209">
        <v>129</v>
      </c>
      <c r="I209">
        <v>53438</v>
      </c>
      <c r="J209">
        <v>52687</v>
      </c>
      <c r="K209">
        <v>223</v>
      </c>
      <c r="L209" t="s">
        <v>60</v>
      </c>
      <c r="M209" t="s">
        <v>15</v>
      </c>
    </row>
    <row r="210" spans="1:13" x14ac:dyDescent="0.3">
      <c r="A210" t="s">
        <v>273</v>
      </c>
      <c r="B210" t="s">
        <v>33</v>
      </c>
      <c r="C210" s="1">
        <v>45567</v>
      </c>
      <c r="D210" t="s">
        <v>58</v>
      </c>
      <c r="E210" t="s">
        <v>127</v>
      </c>
      <c r="F210">
        <v>4350</v>
      </c>
      <c r="G210">
        <v>771</v>
      </c>
      <c r="H210">
        <v>7</v>
      </c>
      <c r="I210">
        <v>60900</v>
      </c>
      <c r="J210">
        <v>60592</v>
      </c>
      <c r="K210">
        <v>195</v>
      </c>
      <c r="L210" t="s">
        <v>60</v>
      </c>
      <c r="M210" t="s">
        <v>7</v>
      </c>
    </row>
    <row r="211" spans="1:13" x14ac:dyDescent="0.3">
      <c r="A211" t="s">
        <v>274</v>
      </c>
      <c r="B211" t="s">
        <v>30</v>
      </c>
      <c r="C211" s="1">
        <v>45519</v>
      </c>
      <c r="D211" t="s">
        <v>63</v>
      </c>
      <c r="E211" t="s">
        <v>91</v>
      </c>
      <c r="F211">
        <v>914</v>
      </c>
      <c r="G211">
        <v>464</v>
      </c>
      <c r="H211">
        <v>246</v>
      </c>
      <c r="I211">
        <v>11882</v>
      </c>
      <c r="J211">
        <v>11500</v>
      </c>
      <c r="K211">
        <v>282</v>
      </c>
      <c r="L211" t="s">
        <v>48</v>
      </c>
      <c r="M211" t="s">
        <v>19</v>
      </c>
    </row>
    <row r="212" spans="1:13" x14ac:dyDescent="0.3">
      <c r="A212" t="s">
        <v>274</v>
      </c>
      <c r="B212" t="s">
        <v>30</v>
      </c>
      <c r="C212" s="1">
        <v>45519</v>
      </c>
      <c r="D212" t="s">
        <v>63</v>
      </c>
      <c r="E212" t="s">
        <v>91</v>
      </c>
      <c r="F212">
        <v>914</v>
      </c>
      <c r="G212">
        <v>464</v>
      </c>
      <c r="H212">
        <v>246</v>
      </c>
      <c r="I212">
        <v>11882</v>
      </c>
      <c r="J212">
        <v>11500</v>
      </c>
      <c r="K212">
        <v>282</v>
      </c>
      <c r="L212" t="s">
        <v>53</v>
      </c>
      <c r="M212" t="s">
        <v>19</v>
      </c>
    </row>
    <row r="213" spans="1:13" x14ac:dyDescent="0.3">
      <c r="A213" t="s">
        <v>274</v>
      </c>
      <c r="B213" t="s">
        <v>30</v>
      </c>
      <c r="C213" s="1">
        <v>45519</v>
      </c>
      <c r="D213" t="s">
        <v>63</v>
      </c>
      <c r="E213" t="s">
        <v>91</v>
      </c>
      <c r="F213">
        <v>914</v>
      </c>
      <c r="G213">
        <v>464</v>
      </c>
      <c r="H213">
        <v>246</v>
      </c>
      <c r="I213">
        <v>11882</v>
      </c>
      <c r="J213">
        <v>11500</v>
      </c>
      <c r="K213">
        <v>282</v>
      </c>
      <c r="L213" t="s">
        <v>49</v>
      </c>
      <c r="M213" t="s">
        <v>19</v>
      </c>
    </row>
    <row r="214" spans="1:13" x14ac:dyDescent="0.3">
      <c r="A214" t="s">
        <v>275</v>
      </c>
      <c r="B214" t="s">
        <v>30</v>
      </c>
      <c r="C214" s="1">
        <v>45645</v>
      </c>
      <c r="D214" t="s">
        <v>51</v>
      </c>
      <c r="E214" t="s">
        <v>104</v>
      </c>
      <c r="F214">
        <v>1813</v>
      </c>
      <c r="G214">
        <v>623</v>
      </c>
      <c r="H214">
        <v>72</v>
      </c>
      <c r="I214">
        <v>19943</v>
      </c>
      <c r="J214">
        <v>18959</v>
      </c>
      <c r="K214">
        <v>85</v>
      </c>
      <c r="L214" t="s">
        <v>60</v>
      </c>
      <c r="M214" t="s">
        <v>15</v>
      </c>
    </row>
    <row r="215" spans="1:13" x14ac:dyDescent="0.3">
      <c r="A215" t="s">
        <v>276</v>
      </c>
      <c r="B215" t="s">
        <v>32</v>
      </c>
      <c r="C215" s="1">
        <v>45587</v>
      </c>
      <c r="D215" t="s">
        <v>46</v>
      </c>
      <c r="E215" t="s">
        <v>47</v>
      </c>
      <c r="F215">
        <v>4782</v>
      </c>
      <c r="G215">
        <v>721</v>
      </c>
      <c r="H215">
        <v>82</v>
      </c>
      <c r="I215">
        <v>86076</v>
      </c>
      <c r="J215">
        <v>85339</v>
      </c>
      <c r="K215">
        <v>19</v>
      </c>
      <c r="L215" t="s">
        <v>60</v>
      </c>
      <c r="M215" t="s">
        <v>7</v>
      </c>
    </row>
    <row r="216" spans="1:13" x14ac:dyDescent="0.3">
      <c r="A216" t="s">
        <v>277</v>
      </c>
      <c r="B216" t="s">
        <v>32</v>
      </c>
      <c r="C216" s="1">
        <v>45549</v>
      </c>
      <c r="D216" t="s">
        <v>68</v>
      </c>
      <c r="E216" t="s">
        <v>114</v>
      </c>
      <c r="F216">
        <v>1048</v>
      </c>
      <c r="G216">
        <v>374</v>
      </c>
      <c r="H216">
        <v>450</v>
      </c>
      <c r="I216">
        <v>9432</v>
      </c>
      <c r="J216">
        <v>8882</v>
      </c>
      <c r="K216">
        <v>158</v>
      </c>
      <c r="L216" t="s">
        <v>53</v>
      </c>
      <c r="M216" t="s">
        <v>15</v>
      </c>
    </row>
    <row r="217" spans="1:13" x14ac:dyDescent="0.3">
      <c r="A217" t="s">
        <v>278</v>
      </c>
      <c r="B217" t="s">
        <v>33</v>
      </c>
      <c r="C217" s="1">
        <v>45626</v>
      </c>
      <c r="D217" t="s">
        <v>63</v>
      </c>
      <c r="E217" t="s">
        <v>78</v>
      </c>
      <c r="F217">
        <v>2509</v>
      </c>
      <c r="G217">
        <v>324</v>
      </c>
      <c r="H217">
        <v>171</v>
      </c>
      <c r="I217">
        <v>35126</v>
      </c>
      <c r="J217">
        <v>34685</v>
      </c>
      <c r="K217">
        <v>277</v>
      </c>
      <c r="L217" t="s">
        <v>53</v>
      </c>
      <c r="M217" t="s">
        <v>11</v>
      </c>
    </row>
    <row r="218" spans="1:13" x14ac:dyDescent="0.3">
      <c r="A218" t="s">
        <v>279</v>
      </c>
      <c r="B218" t="s">
        <v>31</v>
      </c>
      <c r="C218" s="1">
        <v>45754</v>
      </c>
      <c r="D218" t="s">
        <v>46</v>
      </c>
      <c r="E218" t="s">
        <v>76</v>
      </c>
      <c r="F218">
        <v>3718</v>
      </c>
      <c r="G218">
        <v>385</v>
      </c>
      <c r="H218">
        <v>310</v>
      </c>
      <c r="I218">
        <v>70642</v>
      </c>
      <c r="J218">
        <v>69749</v>
      </c>
      <c r="K218">
        <v>233</v>
      </c>
      <c r="L218" t="s">
        <v>53</v>
      </c>
      <c r="M218" t="s">
        <v>11</v>
      </c>
    </row>
    <row r="219" spans="1:13" x14ac:dyDescent="0.3">
      <c r="A219" t="s">
        <v>280</v>
      </c>
      <c r="B219" t="s">
        <v>32</v>
      </c>
      <c r="C219" s="1">
        <v>45672</v>
      </c>
      <c r="D219" t="s">
        <v>46</v>
      </c>
      <c r="E219" t="s">
        <v>47</v>
      </c>
      <c r="F219">
        <v>802</v>
      </c>
      <c r="G219">
        <v>262</v>
      </c>
      <c r="H219">
        <v>244</v>
      </c>
      <c r="I219">
        <v>14436</v>
      </c>
      <c r="J219">
        <v>14280</v>
      </c>
      <c r="K219">
        <v>49</v>
      </c>
      <c r="L219" t="s">
        <v>60</v>
      </c>
      <c r="M219" t="s">
        <v>7</v>
      </c>
    </row>
    <row r="220" spans="1:13" x14ac:dyDescent="0.3">
      <c r="A220" t="s">
        <v>281</v>
      </c>
      <c r="B220" t="s">
        <v>31</v>
      </c>
      <c r="C220" s="1">
        <v>45445</v>
      </c>
      <c r="D220" t="s">
        <v>68</v>
      </c>
      <c r="E220" t="s">
        <v>73</v>
      </c>
      <c r="F220">
        <v>1871</v>
      </c>
      <c r="G220">
        <v>252</v>
      </c>
      <c r="H220">
        <v>335</v>
      </c>
      <c r="I220">
        <v>29936</v>
      </c>
      <c r="J220">
        <v>29576</v>
      </c>
      <c r="K220">
        <v>288</v>
      </c>
      <c r="L220" t="s">
        <v>60</v>
      </c>
      <c r="M220" t="s">
        <v>15</v>
      </c>
    </row>
    <row r="221" spans="1:13" x14ac:dyDescent="0.3">
      <c r="A221" t="s">
        <v>282</v>
      </c>
      <c r="B221" t="s">
        <v>30</v>
      </c>
      <c r="C221" s="1">
        <v>45617</v>
      </c>
      <c r="D221" t="s">
        <v>63</v>
      </c>
      <c r="E221" t="s">
        <v>91</v>
      </c>
      <c r="F221">
        <v>3773</v>
      </c>
      <c r="G221">
        <v>299</v>
      </c>
      <c r="H221">
        <v>38</v>
      </c>
      <c r="I221">
        <v>71687</v>
      </c>
      <c r="J221">
        <v>71447</v>
      </c>
      <c r="K221">
        <v>286</v>
      </c>
      <c r="L221" t="s">
        <v>48</v>
      </c>
      <c r="M221" t="s">
        <v>7</v>
      </c>
    </row>
    <row r="222" spans="1:13" x14ac:dyDescent="0.3">
      <c r="A222" t="s">
        <v>283</v>
      </c>
      <c r="B222" t="s">
        <v>30</v>
      </c>
      <c r="C222" s="1">
        <v>45658</v>
      </c>
      <c r="D222" t="s">
        <v>63</v>
      </c>
      <c r="E222" t="s">
        <v>91</v>
      </c>
      <c r="F222">
        <v>2234</v>
      </c>
      <c r="G222">
        <v>653</v>
      </c>
      <c r="H222">
        <v>432</v>
      </c>
      <c r="I222">
        <v>11170</v>
      </c>
      <c r="J222">
        <v>10569</v>
      </c>
      <c r="K222">
        <v>198</v>
      </c>
      <c r="L222" t="s">
        <v>48</v>
      </c>
      <c r="M222" t="s">
        <v>15</v>
      </c>
    </row>
    <row r="223" spans="1:13" x14ac:dyDescent="0.3">
      <c r="A223" t="s">
        <v>284</v>
      </c>
      <c r="B223" t="s">
        <v>32</v>
      </c>
      <c r="C223" s="1">
        <v>45771</v>
      </c>
      <c r="D223" t="s">
        <v>82</v>
      </c>
      <c r="E223" t="s">
        <v>121</v>
      </c>
      <c r="F223">
        <v>3820</v>
      </c>
      <c r="G223">
        <v>697</v>
      </c>
      <c r="H223">
        <v>268</v>
      </c>
      <c r="I223">
        <v>45840</v>
      </c>
      <c r="J223">
        <v>45631</v>
      </c>
      <c r="K223">
        <v>171</v>
      </c>
      <c r="L223" t="s">
        <v>53</v>
      </c>
      <c r="M223" t="s">
        <v>19</v>
      </c>
    </row>
    <row r="224" spans="1:13" x14ac:dyDescent="0.3">
      <c r="A224" t="s">
        <v>284</v>
      </c>
      <c r="B224" t="s">
        <v>32</v>
      </c>
      <c r="C224" s="1">
        <v>45771</v>
      </c>
      <c r="D224" t="s">
        <v>82</v>
      </c>
      <c r="E224" t="s">
        <v>121</v>
      </c>
      <c r="F224">
        <v>3820</v>
      </c>
      <c r="G224">
        <v>697</v>
      </c>
      <c r="H224">
        <v>268</v>
      </c>
      <c r="I224">
        <v>45840</v>
      </c>
      <c r="J224">
        <v>45631</v>
      </c>
      <c r="K224">
        <v>171</v>
      </c>
      <c r="L224" t="s">
        <v>18</v>
      </c>
      <c r="M224" t="s">
        <v>19</v>
      </c>
    </row>
    <row r="225" spans="1:13" x14ac:dyDescent="0.3">
      <c r="A225" t="s">
        <v>285</v>
      </c>
      <c r="B225" t="s">
        <v>32</v>
      </c>
      <c r="C225" s="1">
        <v>45467</v>
      </c>
      <c r="D225" t="s">
        <v>51</v>
      </c>
      <c r="E225" t="s">
        <v>52</v>
      </c>
      <c r="F225">
        <v>941</v>
      </c>
      <c r="G225">
        <v>121</v>
      </c>
      <c r="H225">
        <v>458</v>
      </c>
      <c r="I225">
        <v>14115</v>
      </c>
      <c r="J225">
        <v>13838</v>
      </c>
      <c r="K225">
        <v>87</v>
      </c>
      <c r="L225" t="s">
        <v>60</v>
      </c>
      <c r="M225" t="s">
        <v>7</v>
      </c>
    </row>
    <row r="226" spans="1:13" x14ac:dyDescent="0.3">
      <c r="A226" t="s">
        <v>286</v>
      </c>
      <c r="B226" t="s">
        <v>32</v>
      </c>
      <c r="C226" s="1">
        <v>45655</v>
      </c>
      <c r="D226" t="s">
        <v>63</v>
      </c>
      <c r="E226" t="s">
        <v>66</v>
      </c>
      <c r="F226">
        <v>4274</v>
      </c>
      <c r="G226">
        <v>340</v>
      </c>
      <c r="H226">
        <v>281</v>
      </c>
      <c r="I226">
        <v>34192</v>
      </c>
      <c r="J226">
        <v>33446</v>
      </c>
      <c r="K226">
        <v>129</v>
      </c>
      <c r="L226" t="s">
        <v>53</v>
      </c>
      <c r="M226" t="s">
        <v>15</v>
      </c>
    </row>
    <row r="227" spans="1:13" x14ac:dyDescent="0.3">
      <c r="A227" t="s">
        <v>286</v>
      </c>
      <c r="B227" t="s">
        <v>32</v>
      </c>
      <c r="C227" s="1">
        <v>45655</v>
      </c>
      <c r="D227" t="s">
        <v>63</v>
      </c>
      <c r="E227" t="s">
        <v>66</v>
      </c>
      <c r="F227">
        <v>4274</v>
      </c>
      <c r="G227">
        <v>340</v>
      </c>
      <c r="H227">
        <v>281</v>
      </c>
      <c r="I227">
        <v>34192</v>
      </c>
      <c r="J227">
        <v>33446</v>
      </c>
      <c r="K227">
        <v>129</v>
      </c>
      <c r="L227" t="s">
        <v>18</v>
      </c>
      <c r="M227" t="s">
        <v>15</v>
      </c>
    </row>
    <row r="228" spans="1:13" x14ac:dyDescent="0.3">
      <c r="A228" t="s">
        <v>287</v>
      </c>
      <c r="B228" t="s">
        <v>33</v>
      </c>
      <c r="C228" s="1">
        <v>45467</v>
      </c>
      <c r="D228" t="s">
        <v>82</v>
      </c>
      <c r="E228" t="s">
        <v>162</v>
      </c>
      <c r="F228">
        <v>2949</v>
      </c>
      <c r="G228">
        <v>476</v>
      </c>
      <c r="H228">
        <v>403</v>
      </c>
      <c r="I228">
        <v>44235</v>
      </c>
      <c r="J228">
        <v>43705</v>
      </c>
      <c r="K228">
        <v>135</v>
      </c>
      <c r="L228" t="s">
        <v>53</v>
      </c>
      <c r="M228" t="s">
        <v>11</v>
      </c>
    </row>
    <row r="229" spans="1:13" x14ac:dyDescent="0.3">
      <c r="A229" t="s">
        <v>288</v>
      </c>
      <c r="B229" t="s">
        <v>32</v>
      </c>
      <c r="C229" s="1">
        <v>45735</v>
      </c>
      <c r="D229" t="s">
        <v>82</v>
      </c>
      <c r="E229" t="s">
        <v>121</v>
      </c>
      <c r="F229">
        <v>3160</v>
      </c>
      <c r="G229">
        <v>204</v>
      </c>
      <c r="H229">
        <v>297</v>
      </c>
      <c r="I229">
        <v>44240</v>
      </c>
      <c r="J229">
        <v>43666</v>
      </c>
      <c r="K229">
        <v>49</v>
      </c>
      <c r="L229" t="s">
        <v>48</v>
      </c>
      <c r="M229" t="s">
        <v>19</v>
      </c>
    </row>
    <row r="230" spans="1:13" x14ac:dyDescent="0.3">
      <c r="A230" t="s">
        <v>288</v>
      </c>
      <c r="B230" t="s">
        <v>32</v>
      </c>
      <c r="C230" s="1">
        <v>45735</v>
      </c>
      <c r="D230" t="s">
        <v>82</v>
      </c>
      <c r="E230" t="s">
        <v>121</v>
      </c>
      <c r="F230">
        <v>3160</v>
      </c>
      <c r="G230">
        <v>204</v>
      </c>
      <c r="H230">
        <v>297</v>
      </c>
      <c r="I230">
        <v>44240</v>
      </c>
      <c r="J230">
        <v>43666</v>
      </c>
      <c r="K230">
        <v>49</v>
      </c>
      <c r="L230" t="s">
        <v>49</v>
      </c>
      <c r="M230" t="s">
        <v>19</v>
      </c>
    </row>
    <row r="231" spans="1:13" x14ac:dyDescent="0.3">
      <c r="A231" t="s">
        <v>289</v>
      </c>
      <c r="B231" t="s">
        <v>33</v>
      </c>
      <c r="C231" s="1">
        <v>45707</v>
      </c>
      <c r="D231" t="s">
        <v>68</v>
      </c>
      <c r="E231" t="s">
        <v>69</v>
      </c>
      <c r="F231">
        <v>257</v>
      </c>
      <c r="G231">
        <v>966</v>
      </c>
      <c r="H231">
        <v>398</v>
      </c>
      <c r="I231">
        <v>3341</v>
      </c>
      <c r="J231">
        <v>2753</v>
      </c>
      <c r="K231">
        <v>287</v>
      </c>
      <c r="L231" t="s">
        <v>48</v>
      </c>
      <c r="M231" t="s">
        <v>7</v>
      </c>
    </row>
    <row r="232" spans="1:13" x14ac:dyDescent="0.3">
      <c r="A232" t="s">
        <v>290</v>
      </c>
      <c r="B232" t="s">
        <v>32</v>
      </c>
      <c r="C232" s="1">
        <v>45491</v>
      </c>
      <c r="D232" t="s">
        <v>63</v>
      </c>
      <c r="E232" t="s">
        <v>66</v>
      </c>
      <c r="F232">
        <v>2120</v>
      </c>
      <c r="G232">
        <v>38</v>
      </c>
      <c r="H232">
        <v>212</v>
      </c>
      <c r="I232">
        <v>12720</v>
      </c>
      <c r="J232">
        <v>12564</v>
      </c>
      <c r="K232">
        <v>21</v>
      </c>
      <c r="L232" t="s">
        <v>48</v>
      </c>
      <c r="M232" t="s">
        <v>19</v>
      </c>
    </row>
    <row r="233" spans="1:13" x14ac:dyDescent="0.3">
      <c r="A233" t="s">
        <v>291</v>
      </c>
      <c r="B233" t="s">
        <v>33</v>
      </c>
      <c r="C233" s="1">
        <v>45719</v>
      </c>
      <c r="D233" t="s">
        <v>82</v>
      </c>
      <c r="E233" t="s">
        <v>162</v>
      </c>
      <c r="F233">
        <v>3874</v>
      </c>
      <c r="G233">
        <v>884</v>
      </c>
      <c r="H233">
        <v>19</v>
      </c>
      <c r="I233">
        <v>38740</v>
      </c>
      <c r="J233">
        <v>38552</v>
      </c>
      <c r="K233">
        <v>219</v>
      </c>
      <c r="L233" t="s">
        <v>53</v>
      </c>
      <c r="M233" t="s">
        <v>11</v>
      </c>
    </row>
    <row r="234" spans="1:13" x14ac:dyDescent="0.3">
      <c r="A234" t="s">
        <v>292</v>
      </c>
      <c r="B234" t="s">
        <v>31</v>
      </c>
      <c r="C234" s="1">
        <v>45778</v>
      </c>
      <c r="D234" t="s">
        <v>63</v>
      </c>
      <c r="E234" t="s">
        <v>64</v>
      </c>
      <c r="F234">
        <v>2696</v>
      </c>
      <c r="G234">
        <v>628</v>
      </c>
      <c r="H234">
        <v>443</v>
      </c>
      <c r="I234">
        <v>45832</v>
      </c>
      <c r="J234">
        <v>45632</v>
      </c>
      <c r="K234">
        <v>248</v>
      </c>
      <c r="L234" t="s">
        <v>60</v>
      </c>
      <c r="M234" t="s">
        <v>19</v>
      </c>
    </row>
    <row r="235" spans="1:13" x14ac:dyDescent="0.3">
      <c r="A235" t="s">
        <v>293</v>
      </c>
      <c r="B235" t="s">
        <v>30</v>
      </c>
      <c r="C235" s="1">
        <v>45649</v>
      </c>
      <c r="D235" t="s">
        <v>68</v>
      </c>
      <c r="E235" t="s">
        <v>160</v>
      </c>
      <c r="F235">
        <v>521</v>
      </c>
      <c r="G235">
        <v>746</v>
      </c>
      <c r="H235">
        <v>315</v>
      </c>
      <c r="I235">
        <v>4168</v>
      </c>
      <c r="J235">
        <v>3399</v>
      </c>
      <c r="K235">
        <v>282</v>
      </c>
      <c r="L235" t="s">
        <v>48</v>
      </c>
      <c r="M235" t="s">
        <v>11</v>
      </c>
    </row>
    <row r="236" spans="1:13" x14ac:dyDescent="0.3">
      <c r="A236" t="s">
        <v>294</v>
      </c>
      <c r="B236" t="s">
        <v>31</v>
      </c>
      <c r="C236" s="1">
        <v>45783</v>
      </c>
      <c r="D236" t="s">
        <v>68</v>
      </c>
      <c r="E236" t="s">
        <v>73</v>
      </c>
      <c r="F236">
        <v>4872</v>
      </c>
      <c r="G236">
        <v>925</v>
      </c>
      <c r="H236">
        <v>176</v>
      </c>
      <c r="I236">
        <v>82824</v>
      </c>
      <c r="J236">
        <v>82543</v>
      </c>
      <c r="K236">
        <v>89</v>
      </c>
      <c r="L236" t="s">
        <v>60</v>
      </c>
      <c r="M236" t="s">
        <v>11</v>
      </c>
    </row>
    <row r="237" spans="1:13" x14ac:dyDescent="0.3">
      <c r="A237" t="s">
        <v>295</v>
      </c>
      <c r="B237" t="s">
        <v>33</v>
      </c>
      <c r="C237" s="1">
        <v>45502</v>
      </c>
      <c r="D237" t="s">
        <v>58</v>
      </c>
      <c r="E237" t="s">
        <v>127</v>
      </c>
      <c r="F237">
        <v>1509</v>
      </c>
      <c r="G237">
        <v>88</v>
      </c>
      <c r="H237">
        <v>163</v>
      </c>
      <c r="I237">
        <v>30180</v>
      </c>
      <c r="J237">
        <v>29689</v>
      </c>
      <c r="K237">
        <v>119</v>
      </c>
      <c r="L237" t="s">
        <v>60</v>
      </c>
      <c r="M237" t="s">
        <v>11</v>
      </c>
    </row>
    <row r="238" spans="1:13" x14ac:dyDescent="0.3">
      <c r="A238" t="s">
        <v>296</v>
      </c>
      <c r="B238" t="s">
        <v>31</v>
      </c>
      <c r="C238" s="1">
        <v>45629</v>
      </c>
      <c r="D238" t="s">
        <v>68</v>
      </c>
      <c r="E238" t="s">
        <v>73</v>
      </c>
      <c r="F238">
        <v>4606</v>
      </c>
      <c r="G238">
        <v>931</v>
      </c>
      <c r="H238">
        <v>230</v>
      </c>
      <c r="I238">
        <v>92120</v>
      </c>
      <c r="J238">
        <v>91440</v>
      </c>
      <c r="K238">
        <v>56</v>
      </c>
      <c r="L238" t="s">
        <v>53</v>
      </c>
    </row>
    <row r="239" spans="1:13" x14ac:dyDescent="0.3">
      <c r="A239" t="s">
        <v>297</v>
      </c>
      <c r="B239" t="s">
        <v>31</v>
      </c>
      <c r="C239" s="1">
        <v>45454</v>
      </c>
      <c r="D239" t="s">
        <v>63</v>
      </c>
      <c r="E239" t="s">
        <v>64</v>
      </c>
      <c r="F239">
        <v>1869</v>
      </c>
      <c r="G239">
        <v>453</v>
      </c>
      <c r="H239">
        <v>490</v>
      </c>
      <c r="I239">
        <v>14952</v>
      </c>
      <c r="J239">
        <v>14309</v>
      </c>
      <c r="K239">
        <v>275</v>
      </c>
      <c r="L239" t="s">
        <v>53</v>
      </c>
      <c r="M239" t="s">
        <v>19</v>
      </c>
    </row>
    <row r="240" spans="1:13" x14ac:dyDescent="0.3">
      <c r="A240" t="s">
        <v>298</v>
      </c>
      <c r="B240" t="s">
        <v>32</v>
      </c>
      <c r="C240" s="1">
        <v>45685</v>
      </c>
      <c r="D240" t="s">
        <v>46</v>
      </c>
      <c r="E240" t="s">
        <v>47</v>
      </c>
      <c r="F240">
        <v>1188</v>
      </c>
      <c r="G240">
        <v>470</v>
      </c>
      <c r="H240">
        <v>174</v>
      </c>
      <c r="I240">
        <v>7128</v>
      </c>
      <c r="J240">
        <v>6145</v>
      </c>
      <c r="K240">
        <v>270</v>
      </c>
      <c r="L240" t="s">
        <v>53</v>
      </c>
      <c r="M240" t="s">
        <v>19</v>
      </c>
    </row>
    <row r="241" spans="1:13" x14ac:dyDescent="0.3">
      <c r="A241" t="s">
        <v>299</v>
      </c>
      <c r="B241" t="s">
        <v>30</v>
      </c>
      <c r="C241" s="1">
        <v>45445</v>
      </c>
      <c r="D241" t="s">
        <v>58</v>
      </c>
      <c r="E241" t="s">
        <v>59</v>
      </c>
      <c r="F241">
        <v>84</v>
      </c>
      <c r="G241">
        <v>897</v>
      </c>
      <c r="H241">
        <v>85</v>
      </c>
      <c r="I241">
        <v>588</v>
      </c>
      <c r="J241">
        <v>8</v>
      </c>
      <c r="K241">
        <v>12</v>
      </c>
      <c r="L241" t="s">
        <v>60</v>
      </c>
    </row>
    <row r="242" spans="1:13" x14ac:dyDescent="0.3">
      <c r="A242" t="s">
        <v>300</v>
      </c>
      <c r="B242" t="s">
        <v>31</v>
      </c>
      <c r="C242" s="1">
        <v>45739</v>
      </c>
      <c r="D242" t="s">
        <v>82</v>
      </c>
      <c r="E242" t="s">
        <v>83</v>
      </c>
      <c r="F242">
        <v>4453</v>
      </c>
      <c r="G242">
        <v>111</v>
      </c>
      <c r="H242">
        <v>420</v>
      </c>
      <c r="I242">
        <v>31171</v>
      </c>
      <c r="J242">
        <v>30565</v>
      </c>
      <c r="K242">
        <v>23</v>
      </c>
      <c r="L242" t="s">
        <v>53</v>
      </c>
    </row>
    <row r="243" spans="1:13" x14ac:dyDescent="0.3">
      <c r="A243" t="s">
        <v>301</v>
      </c>
      <c r="B243" t="s">
        <v>31</v>
      </c>
      <c r="C243" s="1">
        <v>45573</v>
      </c>
      <c r="D243" t="s">
        <v>46</v>
      </c>
      <c r="E243" t="s">
        <v>76</v>
      </c>
      <c r="F243">
        <v>1814</v>
      </c>
      <c r="G243">
        <v>653</v>
      </c>
      <c r="H243">
        <v>363</v>
      </c>
      <c r="I243">
        <v>25396</v>
      </c>
      <c r="J243">
        <v>25286</v>
      </c>
      <c r="K243">
        <v>39</v>
      </c>
      <c r="L243" t="s">
        <v>48</v>
      </c>
      <c r="M243" t="s">
        <v>7</v>
      </c>
    </row>
    <row r="244" spans="1:13" x14ac:dyDescent="0.3">
      <c r="A244" t="s">
        <v>301</v>
      </c>
      <c r="B244" t="s">
        <v>31</v>
      </c>
      <c r="C244" s="1">
        <v>45573</v>
      </c>
      <c r="D244" t="s">
        <v>46</v>
      </c>
      <c r="E244" t="s">
        <v>76</v>
      </c>
      <c r="F244">
        <v>1814</v>
      </c>
      <c r="G244">
        <v>653</v>
      </c>
      <c r="H244">
        <v>363</v>
      </c>
      <c r="I244">
        <v>25396</v>
      </c>
      <c r="J244">
        <v>25286</v>
      </c>
      <c r="K244">
        <v>39</v>
      </c>
      <c r="L244" t="s">
        <v>18</v>
      </c>
      <c r="M244" t="s">
        <v>7</v>
      </c>
    </row>
    <row r="245" spans="1:13" x14ac:dyDescent="0.3">
      <c r="A245" t="s">
        <v>302</v>
      </c>
      <c r="B245" t="s">
        <v>32</v>
      </c>
      <c r="C245" s="1">
        <v>45608</v>
      </c>
      <c r="D245" t="s">
        <v>68</v>
      </c>
      <c r="E245" t="s">
        <v>114</v>
      </c>
      <c r="F245">
        <v>3338</v>
      </c>
      <c r="G245">
        <v>277</v>
      </c>
      <c r="H245">
        <v>118</v>
      </c>
      <c r="I245">
        <v>60084</v>
      </c>
      <c r="J245">
        <v>59842</v>
      </c>
      <c r="K245">
        <v>252</v>
      </c>
      <c r="L245" t="s">
        <v>53</v>
      </c>
    </row>
    <row r="246" spans="1:13" x14ac:dyDescent="0.3">
      <c r="A246" t="s">
        <v>303</v>
      </c>
      <c r="B246" t="s">
        <v>31</v>
      </c>
      <c r="C246" s="1">
        <v>45790</v>
      </c>
      <c r="D246" t="s">
        <v>68</v>
      </c>
      <c r="E246" t="s">
        <v>73</v>
      </c>
      <c r="F246">
        <v>602</v>
      </c>
      <c r="G246">
        <v>594</v>
      </c>
      <c r="H246">
        <v>156</v>
      </c>
      <c r="I246">
        <v>4214</v>
      </c>
      <c r="J246">
        <v>3363</v>
      </c>
      <c r="K246">
        <v>164</v>
      </c>
      <c r="L246" t="s">
        <v>53</v>
      </c>
      <c r="M246" t="s">
        <v>15</v>
      </c>
    </row>
    <row r="247" spans="1:13" x14ac:dyDescent="0.3">
      <c r="A247" t="s">
        <v>304</v>
      </c>
      <c r="B247" t="s">
        <v>32</v>
      </c>
      <c r="C247" s="1">
        <v>45463</v>
      </c>
      <c r="D247" t="s">
        <v>63</v>
      </c>
      <c r="E247" t="s">
        <v>66</v>
      </c>
      <c r="F247">
        <v>4672</v>
      </c>
      <c r="G247">
        <v>325</v>
      </c>
      <c r="H247">
        <v>32</v>
      </c>
      <c r="I247">
        <v>88768</v>
      </c>
      <c r="J247">
        <v>87833</v>
      </c>
      <c r="K247">
        <v>118</v>
      </c>
      <c r="L247" t="s">
        <v>60</v>
      </c>
    </row>
    <row r="248" spans="1:13" x14ac:dyDescent="0.3">
      <c r="A248" t="s">
        <v>305</v>
      </c>
      <c r="B248" t="s">
        <v>30</v>
      </c>
      <c r="C248" s="1">
        <v>45511</v>
      </c>
      <c r="D248" t="s">
        <v>63</v>
      </c>
      <c r="E248" t="s">
        <v>91</v>
      </c>
      <c r="F248">
        <v>1741</v>
      </c>
      <c r="G248">
        <v>164</v>
      </c>
      <c r="H248">
        <v>318</v>
      </c>
      <c r="I248">
        <v>8705</v>
      </c>
      <c r="J248">
        <v>8272</v>
      </c>
      <c r="K248">
        <v>121</v>
      </c>
      <c r="L248" t="s">
        <v>53</v>
      </c>
    </row>
    <row r="249" spans="1:13" x14ac:dyDescent="0.3">
      <c r="A249" t="s">
        <v>306</v>
      </c>
      <c r="B249" t="s">
        <v>30</v>
      </c>
      <c r="C249" s="1">
        <v>45455</v>
      </c>
      <c r="D249" t="s">
        <v>51</v>
      </c>
      <c r="E249" t="s">
        <v>104</v>
      </c>
      <c r="F249">
        <v>246</v>
      </c>
      <c r="G249">
        <v>149</v>
      </c>
      <c r="H249">
        <v>130</v>
      </c>
      <c r="I249">
        <v>4674</v>
      </c>
      <c r="J249">
        <v>4390</v>
      </c>
      <c r="K249">
        <v>217</v>
      </c>
      <c r="L249" t="s">
        <v>48</v>
      </c>
      <c r="M249" t="s">
        <v>15</v>
      </c>
    </row>
    <row r="250" spans="1:13" x14ac:dyDescent="0.3">
      <c r="A250" t="s">
        <v>307</v>
      </c>
      <c r="B250" t="s">
        <v>30</v>
      </c>
      <c r="C250" s="1">
        <v>45474</v>
      </c>
      <c r="D250" t="s">
        <v>58</v>
      </c>
      <c r="E250" t="s">
        <v>59</v>
      </c>
      <c r="F250">
        <v>4808</v>
      </c>
      <c r="G250">
        <v>772</v>
      </c>
      <c r="H250">
        <v>320</v>
      </c>
      <c r="I250">
        <v>72120</v>
      </c>
      <c r="J250">
        <v>71696</v>
      </c>
      <c r="K250">
        <v>195</v>
      </c>
      <c r="L250" t="s">
        <v>60</v>
      </c>
      <c r="M250" t="s">
        <v>7</v>
      </c>
    </row>
    <row r="251" spans="1:13" x14ac:dyDescent="0.3">
      <c r="A251" t="s">
        <v>308</v>
      </c>
      <c r="B251" t="s">
        <v>30</v>
      </c>
      <c r="C251" s="1">
        <v>45476</v>
      </c>
      <c r="D251" t="s">
        <v>63</v>
      </c>
      <c r="E251" t="s">
        <v>91</v>
      </c>
      <c r="F251">
        <v>4799</v>
      </c>
      <c r="G251">
        <v>694</v>
      </c>
      <c r="H251">
        <v>289</v>
      </c>
      <c r="I251">
        <v>43191</v>
      </c>
      <c r="J251">
        <v>42228</v>
      </c>
      <c r="K251">
        <v>118</v>
      </c>
      <c r="L251" t="s">
        <v>53</v>
      </c>
    </row>
    <row r="252" spans="1:13" x14ac:dyDescent="0.3">
      <c r="A252" t="s">
        <v>309</v>
      </c>
      <c r="B252" t="s">
        <v>31</v>
      </c>
      <c r="C252" s="1">
        <v>45488</v>
      </c>
      <c r="D252" t="s">
        <v>46</v>
      </c>
      <c r="E252" t="s">
        <v>76</v>
      </c>
      <c r="F252">
        <v>3663</v>
      </c>
      <c r="G252">
        <v>17</v>
      </c>
      <c r="H252">
        <v>295</v>
      </c>
      <c r="I252">
        <v>51282</v>
      </c>
      <c r="J252">
        <v>50567</v>
      </c>
      <c r="K252">
        <v>84</v>
      </c>
      <c r="L252" t="s">
        <v>60</v>
      </c>
      <c r="M252" t="s">
        <v>15</v>
      </c>
    </row>
    <row r="253" spans="1:13" x14ac:dyDescent="0.3">
      <c r="A253" t="s">
        <v>310</v>
      </c>
      <c r="B253" t="s">
        <v>30</v>
      </c>
      <c r="C253" s="1">
        <v>45778</v>
      </c>
      <c r="D253" t="s">
        <v>51</v>
      </c>
      <c r="E253" t="s">
        <v>104</v>
      </c>
      <c r="F253">
        <v>1430</v>
      </c>
      <c r="G253">
        <v>376</v>
      </c>
      <c r="H253">
        <v>33</v>
      </c>
      <c r="I253">
        <v>21450</v>
      </c>
      <c r="J253">
        <v>20509</v>
      </c>
      <c r="K253">
        <v>251</v>
      </c>
      <c r="L253" t="s">
        <v>48</v>
      </c>
      <c r="M253" t="s">
        <v>7</v>
      </c>
    </row>
    <row r="254" spans="1:13" x14ac:dyDescent="0.3">
      <c r="A254" t="s">
        <v>311</v>
      </c>
      <c r="B254" t="s">
        <v>32</v>
      </c>
      <c r="C254" s="1">
        <v>45776</v>
      </c>
      <c r="D254" t="s">
        <v>58</v>
      </c>
      <c r="E254" t="s">
        <v>124</v>
      </c>
      <c r="F254">
        <v>249</v>
      </c>
      <c r="G254">
        <v>592</v>
      </c>
      <c r="H254">
        <v>230</v>
      </c>
      <c r="I254">
        <v>1494</v>
      </c>
      <c r="J254">
        <v>1044</v>
      </c>
      <c r="K254">
        <v>201</v>
      </c>
      <c r="L254" t="s">
        <v>60</v>
      </c>
      <c r="M254" t="s">
        <v>19</v>
      </c>
    </row>
    <row r="255" spans="1:13" x14ac:dyDescent="0.3">
      <c r="A255" t="s">
        <v>312</v>
      </c>
      <c r="B255" t="s">
        <v>31</v>
      </c>
      <c r="C255" s="1">
        <v>45724</v>
      </c>
      <c r="D255" t="s">
        <v>68</v>
      </c>
      <c r="E255" t="s">
        <v>73</v>
      </c>
      <c r="F255">
        <v>2382</v>
      </c>
      <c r="G255">
        <v>265</v>
      </c>
      <c r="H255">
        <v>134</v>
      </c>
      <c r="I255">
        <v>38112</v>
      </c>
      <c r="J255">
        <v>37437</v>
      </c>
      <c r="K255">
        <v>249</v>
      </c>
      <c r="L255" t="s">
        <v>48</v>
      </c>
      <c r="M255" t="s">
        <v>19</v>
      </c>
    </row>
    <row r="256" spans="1:13" x14ac:dyDescent="0.3">
      <c r="A256" t="s">
        <v>313</v>
      </c>
      <c r="B256" t="s">
        <v>31</v>
      </c>
      <c r="C256" s="1">
        <v>45444</v>
      </c>
      <c r="D256" t="s">
        <v>51</v>
      </c>
      <c r="E256" t="s">
        <v>71</v>
      </c>
      <c r="F256">
        <v>1272</v>
      </c>
      <c r="G256">
        <v>465</v>
      </c>
      <c r="H256">
        <v>99</v>
      </c>
      <c r="I256">
        <v>24168</v>
      </c>
      <c r="J256">
        <v>23719</v>
      </c>
      <c r="K256">
        <v>42</v>
      </c>
      <c r="L256" t="s">
        <v>53</v>
      </c>
    </row>
    <row r="257" spans="1:13" x14ac:dyDescent="0.3">
      <c r="A257" t="s">
        <v>314</v>
      </c>
      <c r="B257" t="s">
        <v>31</v>
      </c>
      <c r="C257" s="1">
        <v>45648</v>
      </c>
      <c r="D257" t="s">
        <v>68</v>
      </c>
      <c r="E257" t="s">
        <v>73</v>
      </c>
      <c r="F257">
        <v>3196</v>
      </c>
      <c r="G257">
        <v>941</v>
      </c>
      <c r="H257">
        <v>376</v>
      </c>
      <c r="I257">
        <v>35156</v>
      </c>
      <c r="J257">
        <v>34444</v>
      </c>
      <c r="K257">
        <v>241</v>
      </c>
      <c r="L257" t="s">
        <v>53</v>
      </c>
      <c r="M257" t="s">
        <v>15</v>
      </c>
    </row>
    <row r="258" spans="1:13" x14ac:dyDescent="0.3">
      <c r="A258" t="s">
        <v>315</v>
      </c>
      <c r="B258" t="s">
        <v>31</v>
      </c>
      <c r="C258" s="1">
        <v>45523</v>
      </c>
      <c r="D258" t="s">
        <v>51</v>
      </c>
      <c r="E258" t="s">
        <v>71</v>
      </c>
      <c r="F258">
        <v>1257</v>
      </c>
      <c r="G258">
        <v>19</v>
      </c>
      <c r="H258">
        <v>351</v>
      </c>
      <c r="I258">
        <v>12570</v>
      </c>
      <c r="J258">
        <v>11660</v>
      </c>
      <c r="K258">
        <v>194</v>
      </c>
      <c r="L258" t="s">
        <v>48</v>
      </c>
      <c r="M258" t="s">
        <v>11</v>
      </c>
    </row>
    <row r="259" spans="1:13" x14ac:dyDescent="0.3">
      <c r="A259" t="s">
        <v>315</v>
      </c>
      <c r="B259" t="s">
        <v>31</v>
      </c>
      <c r="C259" s="1">
        <v>45523</v>
      </c>
      <c r="D259" t="s">
        <v>51</v>
      </c>
      <c r="E259" t="s">
        <v>71</v>
      </c>
      <c r="F259">
        <v>1257</v>
      </c>
      <c r="G259">
        <v>19</v>
      </c>
      <c r="H259">
        <v>351</v>
      </c>
      <c r="I259">
        <v>12570</v>
      </c>
      <c r="J259">
        <v>11660</v>
      </c>
      <c r="K259">
        <v>194</v>
      </c>
      <c r="L259" t="s">
        <v>49</v>
      </c>
      <c r="M259" t="s">
        <v>11</v>
      </c>
    </row>
    <row r="260" spans="1:13" x14ac:dyDescent="0.3">
      <c r="A260" t="s">
        <v>315</v>
      </c>
      <c r="B260" t="s">
        <v>31</v>
      </c>
      <c r="C260" s="1">
        <v>45523</v>
      </c>
      <c r="D260" t="s">
        <v>51</v>
      </c>
      <c r="E260" t="s">
        <v>71</v>
      </c>
      <c r="F260">
        <v>1257</v>
      </c>
      <c r="G260">
        <v>19</v>
      </c>
      <c r="H260">
        <v>351</v>
      </c>
      <c r="I260">
        <v>12570</v>
      </c>
      <c r="J260">
        <v>11660</v>
      </c>
      <c r="K260">
        <v>194</v>
      </c>
      <c r="L260" t="s">
        <v>60</v>
      </c>
      <c r="M260" t="s">
        <v>11</v>
      </c>
    </row>
    <row r="261" spans="1:13" x14ac:dyDescent="0.3">
      <c r="A261" t="s">
        <v>316</v>
      </c>
      <c r="B261" t="s">
        <v>30</v>
      </c>
      <c r="C261" s="1">
        <v>45587</v>
      </c>
      <c r="D261" t="s">
        <v>58</v>
      </c>
      <c r="E261" t="s">
        <v>59</v>
      </c>
      <c r="F261">
        <v>3770</v>
      </c>
      <c r="G261">
        <v>917</v>
      </c>
      <c r="H261">
        <v>129</v>
      </c>
      <c r="I261">
        <v>71630</v>
      </c>
      <c r="J261">
        <v>71322</v>
      </c>
      <c r="K261">
        <v>76</v>
      </c>
      <c r="L261" t="s">
        <v>48</v>
      </c>
      <c r="M261" t="s">
        <v>7</v>
      </c>
    </row>
    <row r="262" spans="1:13" x14ac:dyDescent="0.3">
      <c r="A262" t="s">
        <v>317</v>
      </c>
      <c r="B262" t="s">
        <v>32</v>
      </c>
      <c r="C262" s="1">
        <v>45489</v>
      </c>
      <c r="D262" t="s">
        <v>51</v>
      </c>
      <c r="E262" t="s">
        <v>52</v>
      </c>
      <c r="F262">
        <v>4725</v>
      </c>
      <c r="G262">
        <v>400</v>
      </c>
      <c r="H262">
        <v>362</v>
      </c>
      <c r="I262">
        <v>75600</v>
      </c>
      <c r="J262">
        <v>74927</v>
      </c>
      <c r="K262">
        <v>43</v>
      </c>
      <c r="L262" t="s">
        <v>48</v>
      </c>
      <c r="M262" t="s">
        <v>19</v>
      </c>
    </row>
    <row r="263" spans="1:13" x14ac:dyDescent="0.3">
      <c r="A263" t="s">
        <v>318</v>
      </c>
      <c r="B263" t="s">
        <v>33</v>
      </c>
      <c r="C263" s="1">
        <v>45712</v>
      </c>
      <c r="D263" t="s">
        <v>51</v>
      </c>
      <c r="E263" t="s">
        <v>99</v>
      </c>
      <c r="F263">
        <v>4188</v>
      </c>
      <c r="G263">
        <v>942</v>
      </c>
      <c r="H263">
        <v>118</v>
      </c>
      <c r="I263">
        <v>20940</v>
      </c>
      <c r="J263">
        <v>20471</v>
      </c>
      <c r="K263">
        <v>102</v>
      </c>
      <c r="L263" t="s">
        <v>48</v>
      </c>
    </row>
    <row r="264" spans="1:13" x14ac:dyDescent="0.3">
      <c r="A264" t="s">
        <v>319</v>
      </c>
      <c r="B264" t="s">
        <v>32</v>
      </c>
      <c r="C264" s="1">
        <v>45530</v>
      </c>
      <c r="D264" t="s">
        <v>63</v>
      </c>
      <c r="E264" t="s">
        <v>66</v>
      </c>
      <c r="F264">
        <v>929</v>
      </c>
      <c r="G264">
        <v>192</v>
      </c>
      <c r="H264">
        <v>322</v>
      </c>
      <c r="I264">
        <v>16722</v>
      </c>
      <c r="J264">
        <v>15996</v>
      </c>
      <c r="K264">
        <v>145</v>
      </c>
      <c r="L264" t="s">
        <v>60</v>
      </c>
      <c r="M264" t="s">
        <v>15</v>
      </c>
    </row>
    <row r="265" spans="1:13" x14ac:dyDescent="0.3">
      <c r="A265" t="s">
        <v>319</v>
      </c>
      <c r="B265" t="s">
        <v>32</v>
      </c>
      <c r="C265" s="1">
        <v>45530</v>
      </c>
      <c r="D265" t="s">
        <v>63</v>
      </c>
      <c r="E265" t="s">
        <v>66</v>
      </c>
      <c r="F265">
        <v>929</v>
      </c>
      <c r="G265">
        <v>192</v>
      </c>
      <c r="H265">
        <v>322</v>
      </c>
      <c r="I265">
        <v>16722</v>
      </c>
      <c r="J265">
        <v>15996</v>
      </c>
      <c r="K265">
        <v>145</v>
      </c>
      <c r="L265" t="s">
        <v>53</v>
      </c>
      <c r="M265" t="s">
        <v>15</v>
      </c>
    </row>
    <row r="266" spans="1:13" x14ac:dyDescent="0.3">
      <c r="A266" t="s">
        <v>319</v>
      </c>
      <c r="B266" t="s">
        <v>32</v>
      </c>
      <c r="C266" s="1">
        <v>45530</v>
      </c>
      <c r="D266" t="s">
        <v>63</v>
      </c>
      <c r="E266" t="s">
        <v>66</v>
      </c>
      <c r="F266">
        <v>929</v>
      </c>
      <c r="G266">
        <v>192</v>
      </c>
      <c r="H266">
        <v>322</v>
      </c>
      <c r="I266">
        <v>16722</v>
      </c>
      <c r="J266">
        <v>15996</v>
      </c>
      <c r="K266">
        <v>145</v>
      </c>
      <c r="L266" t="s">
        <v>49</v>
      </c>
      <c r="M266" t="s">
        <v>15</v>
      </c>
    </row>
    <row r="267" spans="1:13" x14ac:dyDescent="0.3">
      <c r="A267" t="s">
        <v>320</v>
      </c>
      <c r="B267" t="s">
        <v>31</v>
      </c>
      <c r="C267" s="1">
        <v>45675</v>
      </c>
      <c r="D267" t="s">
        <v>58</v>
      </c>
      <c r="E267" t="s">
        <v>80</v>
      </c>
      <c r="F267">
        <v>4321</v>
      </c>
      <c r="G267">
        <v>874</v>
      </c>
      <c r="H267">
        <v>172</v>
      </c>
      <c r="I267">
        <v>30247</v>
      </c>
      <c r="J267">
        <v>29254</v>
      </c>
      <c r="K267">
        <v>122</v>
      </c>
      <c r="L267" t="s">
        <v>53</v>
      </c>
      <c r="M267" t="s">
        <v>19</v>
      </c>
    </row>
    <row r="268" spans="1:13" x14ac:dyDescent="0.3">
      <c r="A268" t="s">
        <v>321</v>
      </c>
      <c r="B268" t="s">
        <v>31</v>
      </c>
      <c r="C268" s="1">
        <v>45480</v>
      </c>
      <c r="D268" t="s">
        <v>46</v>
      </c>
      <c r="E268" t="s">
        <v>76</v>
      </c>
      <c r="F268">
        <v>4767</v>
      </c>
      <c r="G268">
        <v>190</v>
      </c>
      <c r="H268">
        <v>340</v>
      </c>
      <c r="I268">
        <v>28602</v>
      </c>
      <c r="J268">
        <v>28044</v>
      </c>
      <c r="K268">
        <v>210</v>
      </c>
      <c r="L268" t="s">
        <v>60</v>
      </c>
      <c r="M268" t="s">
        <v>15</v>
      </c>
    </row>
    <row r="269" spans="1:13" x14ac:dyDescent="0.3">
      <c r="A269" t="s">
        <v>322</v>
      </c>
      <c r="B269" t="s">
        <v>32</v>
      </c>
      <c r="C269" s="1">
        <v>45722</v>
      </c>
      <c r="D269" t="s">
        <v>68</v>
      </c>
      <c r="E269" t="s">
        <v>114</v>
      </c>
      <c r="F269">
        <v>3592</v>
      </c>
      <c r="G269">
        <v>911</v>
      </c>
      <c r="H269">
        <v>375</v>
      </c>
      <c r="I269">
        <v>50288</v>
      </c>
      <c r="J269">
        <v>49490</v>
      </c>
      <c r="K269">
        <v>32</v>
      </c>
      <c r="L269" t="s">
        <v>48</v>
      </c>
      <c r="M269" t="s">
        <v>19</v>
      </c>
    </row>
    <row r="270" spans="1:13" x14ac:dyDescent="0.3">
      <c r="A270" t="s">
        <v>323</v>
      </c>
      <c r="B270" t="s">
        <v>33</v>
      </c>
      <c r="C270" s="1">
        <v>45590</v>
      </c>
      <c r="D270" t="s">
        <v>82</v>
      </c>
      <c r="E270" t="s">
        <v>162</v>
      </c>
      <c r="F270">
        <v>4661</v>
      </c>
      <c r="G270">
        <v>935</v>
      </c>
      <c r="H270">
        <v>433</v>
      </c>
      <c r="I270">
        <v>23305</v>
      </c>
      <c r="J270">
        <v>22583</v>
      </c>
      <c r="K270">
        <v>63</v>
      </c>
      <c r="L270" t="s">
        <v>48</v>
      </c>
      <c r="M270" t="s">
        <v>15</v>
      </c>
    </row>
    <row r="271" spans="1:13" x14ac:dyDescent="0.3">
      <c r="A271" t="s">
        <v>324</v>
      </c>
      <c r="B271" t="s">
        <v>31</v>
      </c>
      <c r="C271" s="1">
        <v>45669</v>
      </c>
      <c r="D271" t="s">
        <v>46</v>
      </c>
      <c r="E271" t="s">
        <v>76</v>
      </c>
      <c r="F271">
        <v>4134</v>
      </c>
      <c r="G271">
        <v>824</v>
      </c>
      <c r="H271">
        <v>99</v>
      </c>
      <c r="I271">
        <v>41340</v>
      </c>
      <c r="J271">
        <v>41050</v>
      </c>
      <c r="K271">
        <v>177</v>
      </c>
      <c r="L271" t="s">
        <v>60</v>
      </c>
      <c r="M271" t="s">
        <v>7</v>
      </c>
    </row>
    <row r="272" spans="1:13" x14ac:dyDescent="0.3">
      <c r="A272" t="s">
        <v>325</v>
      </c>
      <c r="B272" t="s">
        <v>31</v>
      </c>
      <c r="C272" s="1">
        <v>45576</v>
      </c>
      <c r="D272" t="s">
        <v>68</v>
      </c>
      <c r="E272" t="s">
        <v>73</v>
      </c>
      <c r="F272">
        <v>400</v>
      </c>
      <c r="G272">
        <v>680</v>
      </c>
      <c r="H272">
        <v>434</v>
      </c>
      <c r="I272">
        <v>6400</v>
      </c>
      <c r="J272">
        <v>5472</v>
      </c>
      <c r="K272">
        <v>160</v>
      </c>
      <c r="L272" t="s">
        <v>48</v>
      </c>
      <c r="M272" t="s">
        <v>11</v>
      </c>
    </row>
    <row r="273" spans="1:13" x14ac:dyDescent="0.3">
      <c r="A273" t="s">
        <v>326</v>
      </c>
      <c r="B273" t="s">
        <v>31</v>
      </c>
      <c r="C273" s="1">
        <v>45531</v>
      </c>
      <c r="D273" t="s">
        <v>46</v>
      </c>
      <c r="E273" t="s">
        <v>76</v>
      </c>
      <c r="F273">
        <v>3960</v>
      </c>
      <c r="G273">
        <v>266</v>
      </c>
      <c r="H273">
        <v>8</v>
      </c>
      <c r="I273">
        <v>35640</v>
      </c>
      <c r="J273">
        <v>34850</v>
      </c>
      <c r="K273">
        <v>208</v>
      </c>
      <c r="L273" t="s">
        <v>48</v>
      </c>
    </row>
    <row r="274" spans="1:13" x14ac:dyDescent="0.3">
      <c r="A274" t="s">
        <v>326</v>
      </c>
      <c r="B274" t="s">
        <v>31</v>
      </c>
      <c r="C274" s="1">
        <v>45531</v>
      </c>
      <c r="D274" t="s">
        <v>46</v>
      </c>
      <c r="E274" t="s">
        <v>76</v>
      </c>
      <c r="F274">
        <v>3960</v>
      </c>
      <c r="G274">
        <v>266</v>
      </c>
      <c r="H274">
        <v>8</v>
      </c>
      <c r="I274">
        <v>35640</v>
      </c>
      <c r="J274">
        <v>34850</v>
      </c>
      <c r="K274">
        <v>208</v>
      </c>
      <c r="L274" t="s">
        <v>60</v>
      </c>
    </row>
    <row r="275" spans="1:13" x14ac:dyDescent="0.3">
      <c r="A275" t="s">
        <v>326</v>
      </c>
      <c r="B275" t="s">
        <v>31</v>
      </c>
      <c r="C275" s="1">
        <v>45531</v>
      </c>
      <c r="D275" t="s">
        <v>46</v>
      </c>
      <c r="E275" t="s">
        <v>76</v>
      </c>
      <c r="F275">
        <v>3960</v>
      </c>
      <c r="G275">
        <v>266</v>
      </c>
      <c r="H275">
        <v>8</v>
      </c>
      <c r="I275">
        <v>35640</v>
      </c>
      <c r="J275">
        <v>34850</v>
      </c>
      <c r="K275">
        <v>208</v>
      </c>
      <c r="L275" t="s">
        <v>54</v>
      </c>
    </row>
    <row r="276" spans="1:13" x14ac:dyDescent="0.3">
      <c r="A276" t="s">
        <v>327</v>
      </c>
      <c r="B276" t="s">
        <v>31</v>
      </c>
      <c r="C276" s="1">
        <v>45690</v>
      </c>
      <c r="D276" t="s">
        <v>58</v>
      </c>
      <c r="E276" t="s">
        <v>80</v>
      </c>
      <c r="F276">
        <v>886</v>
      </c>
      <c r="G276">
        <v>126</v>
      </c>
      <c r="H276">
        <v>153</v>
      </c>
      <c r="I276">
        <v>4430</v>
      </c>
      <c r="J276">
        <v>4037</v>
      </c>
      <c r="K276">
        <v>212</v>
      </c>
      <c r="L276" t="s">
        <v>60</v>
      </c>
    </row>
    <row r="277" spans="1:13" x14ac:dyDescent="0.3">
      <c r="A277" t="s">
        <v>328</v>
      </c>
      <c r="B277" t="s">
        <v>32</v>
      </c>
      <c r="C277" s="1">
        <v>45491</v>
      </c>
      <c r="D277" t="s">
        <v>68</v>
      </c>
      <c r="E277" t="s">
        <v>114</v>
      </c>
      <c r="F277">
        <v>827</v>
      </c>
      <c r="G277">
        <v>77</v>
      </c>
      <c r="H277">
        <v>402</v>
      </c>
      <c r="I277">
        <v>14886</v>
      </c>
      <c r="J277">
        <v>14129</v>
      </c>
      <c r="K277">
        <v>254</v>
      </c>
      <c r="L277" t="s">
        <v>60</v>
      </c>
      <c r="M277" t="s">
        <v>11</v>
      </c>
    </row>
    <row r="278" spans="1:13" x14ac:dyDescent="0.3">
      <c r="A278" t="s">
        <v>329</v>
      </c>
      <c r="B278" t="s">
        <v>31</v>
      </c>
      <c r="C278" s="1">
        <v>45465</v>
      </c>
      <c r="D278" t="s">
        <v>46</v>
      </c>
      <c r="E278" t="s">
        <v>76</v>
      </c>
      <c r="F278">
        <v>3813</v>
      </c>
      <c r="G278">
        <v>935</v>
      </c>
      <c r="H278">
        <v>274</v>
      </c>
      <c r="I278">
        <v>68634</v>
      </c>
      <c r="J278">
        <v>68488</v>
      </c>
      <c r="K278">
        <v>251</v>
      </c>
      <c r="L278" t="s">
        <v>48</v>
      </c>
    </row>
    <row r="279" spans="1:13" x14ac:dyDescent="0.3">
      <c r="A279" t="s">
        <v>330</v>
      </c>
      <c r="B279" t="s">
        <v>30</v>
      </c>
      <c r="C279" s="1">
        <v>45743</v>
      </c>
      <c r="D279" t="s">
        <v>63</v>
      </c>
      <c r="E279" t="s">
        <v>91</v>
      </c>
      <c r="F279">
        <v>1377</v>
      </c>
      <c r="G279">
        <v>796</v>
      </c>
      <c r="H279">
        <v>387</v>
      </c>
      <c r="I279">
        <v>22032</v>
      </c>
      <c r="J279">
        <v>21869</v>
      </c>
      <c r="K279">
        <v>189</v>
      </c>
      <c r="L279" t="s">
        <v>48</v>
      </c>
    </row>
    <row r="280" spans="1:13" x14ac:dyDescent="0.3">
      <c r="A280" t="s">
        <v>331</v>
      </c>
      <c r="B280" t="s">
        <v>31</v>
      </c>
      <c r="C280" s="1">
        <v>45775</v>
      </c>
      <c r="D280" t="s">
        <v>63</v>
      </c>
      <c r="E280" t="s">
        <v>64</v>
      </c>
      <c r="F280">
        <v>2089</v>
      </c>
      <c r="G280">
        <v>476</v>
      </c>
      <c r="H280">
        <v>69</v>
      </c>
      <c r="I280">
        <v>16712</v>
      </c>
      <c r="J280">
        <v>16309</v>
      </c>
      <c r="K280">
        <v>64</v>
      </c>
      <c r="L280" t="s">
        <v>48</v>
      </c>
      <c r="M280" t="s">
        <v>15</v>
      </c>
    </row>
    <row r="281" spans="1:13" x14ac:dyDescent="0.3">
      <c r="A281" t="s">
        <v>332</v>
      </c>
      <c r="B281" t="s">
        <v>32</v>
      </c>
      <c r="C281" s="1">
        <v>45507</v>
      </c>
      <c r="D281" t="s">
        <v>46</v>
      </c>
      <c r="E281" t="s">
        <v>47</v>
      </c>
      <c r="F281">
        <v>3791</v>
      </c>
      <c r="G281">
        <v>593</v>
      </c>
      <c r="H281">
        <v>228</v>
      </c>
      <c r="I281">
        <v>53074</v>
      </c>
      <c r="J281">
        <v>52613</v>
      </c>
      <c r="K281">
        <v>205</v>
      </c>
      <c r="L281" t="s">
        <v>60</v>
      </c>
    </row>
    <row r="282" spans="1:13" x14ac:dyDescent="0.3">
      <c r="A282" t="s">
        <v>333</v>
      </c>
      <c r="B282" t="s">
        <v>32</v>
      </c>
      <c r="C282" s="1">
        <v>45671</v>
      </c>
      <c r="D282" t="s">
        <v>68</v>
      </c>
      <c r="E282" t="s">
        <v>114</v>
      </c>
      <c r="F282">
        <v>2692</v>
      </c>
      <c r="G282">
        <v>115</v>
      </c>
      <c r="H282">
        <v>64</v>
      </c>
      <c r="I282">
        <v>21536</v>
      </c>
      <c r="J282">
        <v>21120</v>
      </c>
      <c r="K282">
        <v>224</v>
      </c>
      <c r="L282" t="s">
        <v>48</v>
      </c>
      <c r="M282" t="s">
        <v>11</v>
      </c>
    </row>
    <row r="283" spans="1:13" x14ac:dyDescent="0.3">
      <c r="A283" t="s">
        <v>334</v>
      </c>
      <c r="B283" t="s">
        <v>31</v>
      </c>
      <c r="C283" s="1">
        <v>45750</v>
      </c>
      <c r="D283" t="s">
        <v>58</v>
      </c>
      <c r="E283" t="s">
        <v>80</v>
      </c>
      <c r="F283">
        <v>3767</v>
      </c>
      <c r="G283">
        <v>514</v>
      </c>
      <c r="H283">
        <v>238</v>
      </c>
      <c r="I283">
        <v>37670</v>
      </c>
      <c r="J283">
        <v>36807</v>
      </c>
      <c r="K283">
        <v>226</v>
      </c>
      <c r="L283" t="s">
        <v>48</v>
      </c>
      <c r="M283" t="s">
        <v>19</v>
      </c>
    </row>
    <row r="284" spans="1:13" x14ac:dyDescent="0.3">
      <c r="A284" t="s">
        <v>335</v>
      </c>
      <c r="B284" t="s">
        <v>33</v>
      </c>
      <c r="C284" s="1">
        <v>45553</v>
      </c>
      <c r="D284" t="s">
        <v>63</v>
      </c>
      <c r="E284" t="s">
        <v>78</v>
      </c>
      <c r="F284">
        <v>2143</v>
      </c>
      <c r="G284">
        <v>12</v>
      </c>
      <c r="H284">
        <v>204</v>
      </c>
      <c r="I284">
        <v>40717</v>
      </c>
      <c r="J284">
        <v>40125</v>
      </c>
      <c r="K284">
        <v>248</v>
      </c>
      <c r="L284" t="s">
        <v>60</v>
      </c>
      <c r="M284" t="s">
        <v>11</v>
      </c>
    </row>
    <row r="285" spans="1:13" x14ac:dyDescent="0.3">
      <c r="A285" t="s">
        <v>336</v>
      </c>
      <c r="B285" t="s">
        <v>31</v>
      </c>
      <c r="C285" s="1">
        <v>45753</v>
      </c>
      <c r="D285" t="s">
        <v>68</v>
      </c>
      <c r="E285" t="s">
        <v>73</v>
      </c>
      <c r="F285">
        <v>3090</v>
      </c>
      <c r="G285">
        <v>697</v>
      </c>
      <c r="H285">
        <v>164</v>
      </c>
      <c r="I285">
        <v>49440</v>
      </c>
      <c r="J285">
        <v>48524</v>
      </c>
      <c r="K285">
        <v>25</v>
      </c>
      <c r="L285" t="s">
        <v>60</v>
      </c>
      <c r="M285" t="s">
        <v>11</v>
      </c>
    </row>
    <row r="286" spans="1:13" x14ac:dyDescent="0.3">
      <c r="A286" t="s">
        <v>336</v>
      </c>
      <c r="B286" t="s">
        <v>31</v>
      </c>
      <c r="C286" s="1">
        <v>45753</v>
      </c>
      <c r="D286" t="s">
        <v>68</v>
      </c>
      <c r="E286" t="s">
        <v>73</v>
      </c>
      <c r="F286">
        <v>3090</v>
      </c>
      <c r="G286">
        <v>697</v>
      </c>
      <c r="H286">
        <v>164</v>
      </c>
      <c r="I286">
        <v>49440</v>
      </c>
      <c r="J286">
        <v>48524</v>
      </c>
      <c r="K286">
        <v>25</v>
      </c>
      <c r="L286" t="s">
        <v>60</v>
      </c>
      <c r="M286" t="s">
        <v>11</v>
      </c>
    </row>
    <row r="287" spans="1:13" x14ac:dyDescent="0.3">
      <c r="A287" t="s">
        <v>336</v>
      </c>
      <c r="B287" t="s">
        <v>31</v>
      </c>
      <c r="C287" s="1">
        <v>45753</v>
      </c>
      <c r="D287" t="s">
        <v>68</v>
      </c>
      <c r="E287" t="s">
        <v>73</v>
      </c>
      <c r="F287">
        <v>3090</v>
      </c>
      <c r="G287">
        <v>697</v>
      </c>
      <c r="H287">
        <v>164</v>
      </c>
      <c r="I287">
        <v>49440</v>
      </c>
      <c r="J287">
        <v>48524</v>
      </c>
      <c r="K287">
        <v>25</v>
      </c>
      <c r="L287" t="s">
        <v>54</v>
      </c>
      <c r="M287" t="s">
        <v>11</v>
      </c>
    </row>
    <row r="288" spans="1:13" x14ac:dyDescent="0.3">
      <c r="A288" t="s">
        <v>337</v>
      </c>
      <c r="B288" t="s">
        <v>30</v>
      </c>
      <c r="C288" s="1">
        <v>45509</v>
      </c>
      <c r="D288" t="s">
        <v>58</v>
      </c>
      <c r="E288" t="s">
        <v>59</v>
      </c>
      <c r="F288">
        <v>3601</v>
      </c>
      <c r="G288">
        <v>695</v>
      </c>
      <c r="H288">
        <v>75</v>
      </c>
      <c r="I288">
        <v>21606</v>
      </c>
      <c r="J288">
        <v>21454</v>
      </c>
      <c r="K288">
        <v>172</v>
      </c>
      <c r="L288" t="s">
        <v>60</v>
      </c>
      <c r="M288" t="s">
        <v>11</v>
      </c>
    </row>
    <row r="289" spans="1:13" x14ac:dyDescent="0.3">
      <c r="A289" t="s">
        <v>338</v>
      </c>
      <c r="B289" t="s">
        <v>31</v>
      </c>
      <c r="C289" s="1">
        <v>45698</v>
      </c>
      <c r="D289" t="s">
        <v>51</v>
      </c>
      <c r="E289" t="s">
        <v>71</v>
      </c>
      <c r="F289">
        <v>562</v>
      </c>
      <c r="G289">
        <v>158</v>
      </c>
      <c r="H289">
        <v>149</v>
      </c>
      <c r="I289">
        <v>3372</v>
      </c>
      <c r="J289">
        <v>2940</v>
      </c>
      <c r="K289">
        <v>93</v>
      </c>
      <c r="L289" t="s">
        <v>53</v>
      </c>
      <c r="M289" t="s">
        <v>7</v>
      </c>
    </row>
    <row r="290" spans="1:13" x14ac:dyDescent="0.3">
      <c r="A290" t="s">
        <v>339</v>
      </c>
      <c r="B290" t="s">
        <v>30</v>
      </c>
      <c r="C290" s="1">
        <v>45700</v>
      </c>
      <c r="D290" t="s">
        <v>58</v>
      </c>
      <c r="E290" t="s">
        <v>59</v>
      </c>
      <c r="F290">
        <v>4332</v>
      </c>
      <c r="G290">
        <v>771</v>
      </c>
      <c r="H290">
        <v>219</v>
      </c>
      <c r="I290">
        <v>60648</v>
      </c>
      <c r="J290">
        <v>60397</v>
      </c>
      <c r="K290">
        <v>10</v>
      </c>
      <c r="L290" t="s">
        <v>53</v>
      </c>
      <c r="M290" t="s">
        <v>15</v>
      </c>
    </row>
    <row r="291" spans="1:13" x14ac:dyDescent="0.3">
      <c r="A291" t="s">
        <v>339</v>
      </c>
      <c r="B291" t="s">
        <v>30</v>
      </c>
      <c r="C291" s="1">
        <v>45700</v>
      </c>
      <c r="D291" t="s">
        <v>58</v>
      </c>
      <c r="E291" t="s">
        <v>59</v>
      </c>
      <c r="F291">
        <v>4332</v>
      </c>
      <c r="G291">
        <v>771</v>
      </c>
      <c r="H291">
        <v>219</v>
      </c>
      <c r="I291">
        <v>60648</v>
      </c>
      <c r="J291">
        <v>60397</v>
      </c>
      <c r="K291">
        <v>10</v>
      </c>
      <c r="L291" t="s">
        <v>60</v>
      </c>
      <c r="M291" t="s">
        <v>15</v>
      </c>
    </row>
    <row r="292" spans="1:13" x14ac:dyDescent="0.3">
      <c r="A292" t="s">
        <v>339</v>
      </c>
      <c r="B292" t="s">
        <v>30</v>
      </c>
      <c r="C292" s="1">
        <v>45700</v>
      </c>
      <c r="D292" t="s">
        <v>58</v>
      </c>
      <c r="E292" t="s">
        <v>59</v>
      </c>
      <c r="F292">
        <v>4332</v>
      </c>
      <c r="G292">
        <v>771</v>
      </c>
      <c r="H292">
        <v>219</v>
      </c>
      <c r="I292">
        <v>60648</v>
      </c>
      <c r="J292">
        <v>60397</v>
      </c>
      <c r="K292">
        <v>10</v>
      </c>
      <c r="L292" t="s">
        <v>54</v>
      </c>
      <c r="M292" t="s">
        <v>15</v>
      </c>
    </row>
    <row r="293" spans="1:13" x14ac:dyDescent="0.3">
      <c r="A293" t="s">
        <v>340</v>
      </c>
      <c r="B293" t="s">
        <v>30</v>
      </c>
      <c r="C293" s="1">
        <v>45592</v>
      </c>
      <c r="D293" t="s">
        <v>68</v>
      </c>
      <c r="E293" t="s">
        <v>160</v>
      </c>
      <c r="F293">
        <v>4853</v>
      </c>
      <c r="G293">
        <v>837</v>
      </c>
      <c r="H293">
        <v>340</v>
      </c>
      <c r="I293">
        <v>72795</v>
      </c>
      <c r="J293">
        <v>72237</v>
      </c>
      <c r="K293">
        <v>170</v>
      </c>
      <c r="L293" t="s">
        <v>60</v>
      </c>
      <c r="M293" t="s">
        <v>7</v>
      </c>
    </row>
    <row r="294" spans="1:13" x14ac:dyDescent="0.3">
      <c r="A294" t="s">
        <v>341</v>
      </c>
      <c r="B294" t="s">
        <v>33</v>
      </c>
      <c r="C294" s="1">
        <v>45675</v>
      </c>
      <c r="D294" t="s">
        <v>68</v>
      </c>
      <c r="E294" t="s">
        <v>69</v>
      </c>
      <c r="F294">
        <v>1206</v>
      </c>
      <c r="G294">
        <v>238</v>
      </c>
      <c r="H294">
        <v>36</v>
      </c>
      <c r="I294">
        <v>9648</v>
      </c>
      <c r="J294">
        <v>9417</v>
      </c>
      <c r="K294">
        <v>237</v>
      </c>
      <c r="L294" t="s">
        <v>53</v>
      </c>
    </row>
    <row r="295" spans="1:13" x14ac:dyDescent="0.3">
      <c r="A295" t="s">
        <v>342</v>
      </c>
      <c r="B295" t="s">
        <v>30</v>
      </c>
      <c r="C295" s="1">
        <v>45524</v>
      </c>
      <c r="D295" t="s">
        <v>46</v>
      </c>
      <c r="E295" t="s">
        <v>87</v>
      </c>
      <c r="F295">
        <v>2603</v>
      </c>
      <c r="G295">
        <v>690</v>
      </c>
      <c r="H295">
        <v>205</v>
      </c>
      <c r="I295">
        <v>13015</v>
      </c>
      <c r="J295">
        <v>12130</v>
      </c>
      <c r="K295">
        <v>20</v>
      </c>
      <c r="L295" t="s">
        <v>48</v>
      </c>
      <c r="M295" t="s">
        <v>11</v>
      </c>
    </row>
    <row r="296" spans="1:13" x14ac:dyDescent="0.3">
      <c r="A296" t="s">
        <v>343</v>
      </c>
      <c r="B296" t="s">
        <v>32</v>
      </c>
      <c r="C296" s="1">
        <v>45687</v>
      </c>
      <c r="D296" t="s">
        <v>68</v>
      </c>
      <c r="E296" t="s">
        <v>114</v>
      </c>
      <c r="F296">
        <v>59</v>
      </c>
      <c r="G296">
        <v>163</v>
      </c>
      <c r="H296">
        <v>93</v>
      </c>
      <c r="I296">
        <v>590</v>
      </c>
      <c r="J296">
        <v>475</v>
      </c>
      <c r="K296">
        <v>293</v>
      </c>
      <c r="L296" t="s">
        <v>53</v>
      </c>
      <c r="M296" t="s">
        <v>11</v>
      </c>
    </row>
    <row r="297" spans="1:13" x14ac:dyDescent="0.3">
      <c r="A297" t="s">
        <v>344</v>
      </c>
      <c r="B297" t="s">
        <v>32</v>
      </c>
      <c r="C297" s="1">
        <v>45708</v>
      </c>
      <c r="D297" t="s">
        <v>63</v>
      </c>
      <c r="E297" t="s">
        <v>66</v>
      </c>
      <c r="F297">
        <v>1877</v>
      </c>
      <c r="G297">
        <v>745</v>
      </c>
      <c r="H297">
        <v>225</v>
      </c>
      <c r="I297">
        <v>11262</v>
      </c>
      <c r="J297">
        <v>10967</v>
      </c>
      <c r="K297">
        <v>41</v>
      </c>
      <c r="L297" t="s">
        <v>60</v>
      </c>
      <c r="M297" t="s">
        <v>19</v>
      </c>
    </row>
    <row r="298" spans="1:13" x14ac:dyDescent="0.3">
      <c r="A298" t="s">
        <v>345</v>
      </c>
      <c r="B298" t="s">
        <v>31</v>
      </c>
      <c r="C298" s="1">
        <v>45621</v>
      </c>
      <c r="D298" t="s">
        <v>58</v>
      </c>
      <c r="E298" t="s">
        <v>80</v>
      </c>
      <c r="F298">
        <v>4182</v>
      </c>
      <c r="G298">
        <v>640</v>
      </c>
      <c r="H298">
        <v>240</v>
      </c>
      <c r="I298">
        <v>50184</v>
      </c>
      <c r="J298">
        <v>49351</v>
      </c>
      <c r="K298">
        <v>10</v>
      </c>
      <c r="L298" t="s">
        <v>53</v>
      </c>
      <c r="M298" t="s">
        <v>15</v>
      </c>
    </row>
    <row r="299" spans="1:13" x14ac:dyDescent="0.3">
      <c r="A299" t="s">
        <v>346</v>
      </c>
      <c r="B299" t="s">
        <v>32</v>
      </c>
      <c r="C299" s="1">
        <v>45569</v>
      </c>
      <c r="D299" t="s">
        <v>46</v>
      </c>
      <c r="E299" t="s">
        <v>47</v>
      </c>
      <c r="F299">
        <v>4187</v>
      </c>
      <c r="G299">
        <v>66</v>
      </c>
      <c r="H299">
        <v>31</v>
      </c>
      <c r="I299">
        <v>66992</v>
      </c>
      <c r="J299">
        <v>66614</v>
      </c>
      <c r="K299">
        <v>62</v>
      </c>
      <c r="L299" t="s">
        <v>48</v>
      </c>
    </row>
    <row r="300" spans="1:13" x14ac:dyDescent="0.3">
      <c r="A300" t="s">
        <v>347</v>
      </c>
      <c r="B300" t="s">
        <v>30</v>
      </c>
      <c r="C300" s="1">
        <v>45760</v>
      </c>
      <c r="D300" t="s">
        <v>46</v>
      </c>
      <c r="E300" t="s">
        <v>87</v>
      </c>
      <c r="F300">
        <v>4579</v>
      </c>
      <c r="G300">
        <v>125</v>
      </c>
      <c r="H300">
        <v>300</v>
      </c>
      <c r="I300">
        <v>59527</v>
      </c>
      <c r="J300">
        <v>59400</v>
      </c>
      <c r="K300">
        <v>269</v>
      </c>
      <c r="L300" t="s">
        <v>60</v>
      </c>
      <c r="M300" t="s">
        <v>7</v>
      </c>
    </row>
    <row r="301" spans="1:13" x14ac:dyDescent="0.3">
      <c r="A301" t="s">
        <v>348</v>
      </c>
      <c r="B301" t="s">
        <v>30</v>
      </c>
      <c r="C301" s="1">
        <v>45601</v>
      </c>
      <c r="D301" t="s">
        <v>82</v>
      </c>
      <c r="E301" t="s">
        <v>89</v>
      </c>
      <c r="F301">
        <v>4561</v>
      </c>
      <c r="G301">
        <v>51</v>
      </c>
      <c r="H301">
        <v>441</v>
      </c>
      <c r="I301">
        <v>22805</v>
      </c>
      <c r="J301">
        <v>21890</v>
      </c>
      <c r="K301">
        <v>45</v>
      </c>
      <c r="L301" t="s">
        <v>53</v>
      </c>
      <c r="M301" t="s">
        <v>11</v>
      </c>
    </row>
    <row r="302" spans="1:13" x14ac:dyDescent="0.3">
      <c r="A302" t="s">
        <v>349</v>
      </c>
      <c r="B302" t="s">
        <v>33</v>
      </c>
      <c r="C302" s="1">
        <v>45672</v>
      </c>
      <c r="D302" t="s">
        <v>46</v>
      </c>
      <c r="E302" t="s">
        <v>56</v>
      </c>
      <c r="F302">
        <v>3774</v>
      </c>
      <c r="G302">
        <v>239</v>
      </c>
      <c r="H302">
        <v>39</v>
      </c>
      <c r="I302">
        <v>60384</v>
      </c>
      <c r="J302">
        <v>59490</v>
      </c>
      <c r="K302">
        <v>241</v>
      </c>
      <c r="L302" t="s">
        <v>53</v>
      </c>
      <c r="M302" t="s">
        <v>15</v>
      </c>
    </row>
    <row r="303" spans="1:13" x14ac:dyDescent="0.3">
      <c r="A303" t="s">
        <v>350</v>
      </c>
      <c r="B303" t="s">
        <v>30</v>
      </c>
      <c r="C303" s="1">
        <v>45582</v>
      </c>
      <c r="D303" t="s">
        <v>82</v>
      </c>
      <c r="E303" t="s">
        <v>89</v>
      </c>
      <c r="F303">
        <v>3575</v>
      </c>
      <c r="G303">
        <v>749</v>
      </c>
      <c r="H303">
        <v>111</v>
      </c>
      <c r="I303">
        <v>21450</v>
      </c>
      <c r="J303">
        <v>20785</v>
      </c>
      <c r="K303">
        <v>195</v>
      </c>
      <c r="L303" t="s">
        <v>60</v>
      </c>
      <c r="M303" t="s">
        <v>11</v>
      </c>
    </row>
    <row r="304" spans="1:13" x14ac:dyDescent="0.3">
      <c r="A304" t="s">
        <v>351</v>
      </c>
      <c r="B304" t="s">
        <v>30</v>
      </c>
      <c r="C304" s="1">
        <v>45743</v>
      </c>
      <c r="D304" t="s">
        <v>51</v>
      </c>
      <c r="E304" t="s">
        <v>104</v>
      </c>
      <c r="F304">
        <v>4941</v>
      </c>
      <c r="G304">
        <v>414</v>
      </c>
      <c r="H304">
        <v>266</v>
      </c>
      <c r="I304">
        <v>39528</v>
      </c>
      <c r="J304">
        <v>39154</v>
      </c>
      <c r="K304">
        <v>217</v>
      </c>
      <c r="L304" t="s">
        <v>53</v>
      </c>
      <c r="M304" t="s">
        <v>15</v>
      </c>
    </row>
    <row r="305" spans="1:13" x14ac:dyDescent="0.3">
      <c r="A305" t="s">
        <v>352</v>
      </c>
      <c r="B305" t="s">
        <v>33</v>
      </c>
      <c r="C305" s="1">
        <v>45577</v>
      </c>
      <c r="D305" t="s">
        <v>58</v>
      </c>
      <c r="E305" t="s">
        <v>127</v>
      </c>
      <c r="F305">
        <v>3641</v>
      </c>
      <c r="G305">
        <v>226</v>
      </c>
      <c r="H305">
        <v>46</v>
      </c>
      <c r="I305">
        <v>40051</v>
      </c>
      <c r="J305">
        <v>39319</v>
      </c>
      <c r="K305">
        <v>296</v>
      </c>
      <c r="L305" t="s">
        <v>60</v>
      </c>
      <c r="M305" t="s">
        <v>19</v>
      </c>
    </row>
    <row r="306" spans="1:13" x14ac:dyDescent="0.3">
      <c r="A306" t="s">
        <v>353</v>
      </c>
      <c r="B306" t="s">
        <v>32</v>
      </c>
      <c r="C306" s="1">
        <v>45658</v>
      </c>
      <c r="D306" t="s">
        <v>63</v>
      </c>
      <c r="E306" t="s">
        <v>66</v>
      </c>
      <c r="F306">
        <v>3535</v>
      </c>
      <c r="G306">
        <v>494</v>
      </c>
      <c r="H306">
        <v>152</v>
      </c>
      <c r="I306">
        <v>53025</v>
      </c>
      <c r="J306">
        <v>52791</v>
      </c>
      <c r="K306">
        <v>44</v>
      </c>
      <c r="L306" t="s">
        <v>53</v>
      </c>
      <c r="M306" t="s">
        <v>19</v>
      </c>
    </row>
    <row r="307" spans="1:13" x14ac:dyDescent="0.3">
      <c r="A307" t="s">
        <v>354</v>
      </c>
      <c r="B307" t="s">
        <v>31</v>
      </c>
      <c r="C307" s="1">
        <v>45509</v>
      </c>
      <c r="D307" t="s">
        <v>46</v>
      </c>
      <c r="E307" t="s">
        <v>76</v>
      </c>
      <c r="F307">
        <v>1741</v>
      </c>
      <c r="G307">
        <v>831</v>
      </c>
      <c r="H307">
        <v>345</v>
      </c>
      <c r="I307">
        <v>17410</v>
      </c>
      <c r="J307">
        <v>16844</v>
      </c>
      <c r="K307">
        <v>58</v>
      </c>
      <c r="L307" t="s">
        <v>60</v>
      </c>
      <c r="M307" t="s">
        <v>15</v>
      </c>
    </row>
    <row r="308" spans="1:13" x14ac:dyDescent="0.3">
      <c r="A308" t="s">
        <v>355</v>
      </c>
      <c r="B308" t="s">
        <v>32</v>
      </c>
      <c r="C308" s="1">
        <v>45450</v>
      </c>
      <c r="D308" t="s">
        <v>63</v>
      </c>
      <c r="E308" t="s">
        <v>66</v>
      </c>
      <c r="F308">
        <v>1556</v>
      </c>
      <c r="G308">
        <v>195</v>
      </c>
      <c r="H308">
        <v>131</v>
      </c>
      <c r="I308">
        <v>9336</v>
      </c>
      <c r="J308">
        <v>8875</v>
      </c>
      <c r="K308">
        <v>137</v>
      </c>
      <c r="L308" t="s">
        <v>53</v>
      </c>
      <c r="M308" t="s">
        <v>11</v>
      </c>
    </row>
    <row r="309" spans="1:13" x14ac:dyDescent="0.3">
      <c r="A309" t="s">
        <v>356</v>
      </c>
      <c r="B309" t="s">
        <v>31</v>
      </c>
      <c r="C309" s="1">
        <v>45753</v>
      </c>
      <c r="D309" t="s">
        <v>68</v>
      </c>
      <c r="E309" t="s">
        <v>73</v>
      </c>
      <c r="F309">
        <v>4236</v>
      </c>
      <c r="G309">
        <v>711</v>
      </c>
      <c r="H309">
        <v>298</v>
      </c>
      <c r="I309">
        <v>21180</v>
      </c>
      <c r="J309">
        <v>20516</v>
      </c>
      <c r="K309">
        <v>238</v>
      </c>
      <c r="L309" t="s">
        <v>48</v>
      </c>
      <c r="M309" t="s">
        <v>7</v>
      </c>
    </row>
    <row r="310" spans="1:13" x14ac:dyDescent="0.3">
      <c r="A310" t="s">
        <v>357</v>
      </c>
      <c r="B310" t="s">
        <v>32</v>
      </c>
      <c r="C310" s="1">
        <v>45622</v>
      </c>
      <c r="D310" t="s">
        <v>51</v>
      </c>
      <c r="E310" t="s">
        <v>52</v>
      </c>
      <c r="F310">
        <v>4516</v>
      </c>
      <c r="G310">
        <v>836</v>
      </c>
      <c r="H310">
        <v>169</v>
      </c>
      <c r="I310">
        <v>49676</v>
      </c>
      <c r="J310">
        <v>49257</v>
      </c>
      <c r="K310">
        <v>282</v>
      </c>
      <c r="L310" t="s">
        <v>60</v>
      </c>
      <c r="M310" t="s">
        <v>19</v>
      </c>
    </row>
    <row r="311" spans="1:13" x14ac:dyDescent="0.3">
      <c r="A311" t="s">
        <v>358</v>
      </c>
      <c r="B311" t="s">
        <v>33</v>
      </c>
      <c r="C311" s="1">
        <v>45537</v>
      </c>
      <c r="D311" t="s">
        <v>68</v>
      </c>
      <c r="E311" t="s">
        <v>69</v>
      </c>
      <c r="F311">
        <v>4905</v>
      </c>
      <c r="G311">
        <v>845</v>
      </c>
      <c r="H311">
        <v>129</v>
      </c>
      <c r="I311">
        <v>98100</v>
      </c>
      <c r="J311">
        <v>97772</v>
      </c>
      <c r="K311">
        <v>279</v>
      </c>
      <c r="L311" t="s">
        <v>53</v>
      </c>
      <c r="M311" t="s">
        <v>11</v>
      </c>
    </row>
    <row r="312" spans="1:13" x14ac:dyDescent="0.3">
      <c r="A312" t="s">
        <v>359</v>
      </c>
      <c r="B312" t="s">
        <v>33</v>
      </c>
      <c r="C312" s="1">
        <v>45586</v>
      </c>
      <c r="D312" t="s">
        <v>82</v>
      </c>
      <c r="E312" t="s">
        <v>162</v>
      </c>
      <c r="F312">
        <v>4275</v>
      </c>
      <c r="G312">
        <v>680</v>
      </c>
      <c r="H312">
        <v>385</v>
      </c>
      <c r="I312">
        <v>64125</v>
      </c>
      <c r="J312">
        <v>63650</v>
      </c>
      <c r="K312">
        <v>104</v>
      </c>
      <c r="L312" t="s">
        <v>60</v>
      </c>
      <c r="M312" t="s">
        <v>19</v>
      </c>
    </row>
    <row r="313" spans="1:13" x14ac:dyDescent="0.3">
      <c r="A313" t="s">
        <v>359</v>
      </c>
      <c r="B313" t="s">
        <v>33</v>
      </c>
      <c r="C313" s="1">
        <v>45586</v>
      </c>
      <c r="D313" t="s">
        <v>82</v>
      </c>
      <c r="E313" t="s">
        <v>162</v>
      </c>
      <c r="F313">
        <v>4275</v>
      </c>
      <c r="G313">
        <v>680</v>
      </c>
      <c r="H313">
        <v>385</v>
      </c>
      <c r="I313">
        <v>64125</v>
      </c>
      <c r="J313">
        <v>63650</v>
      </c>
      <c r="K313">
        <v>104</v>
      </c>
      <c r="L313" t="s">
        <v>53</v>
      </c>
      <c r="M313" t="s">
        <v>19</v>
      </c>
    </row>
    <row r="314" spans="1:13" x14ac:dyDescent="0.3">
      <c r="A314" t="s">
        <v>359</v>
      </c>
      <c r="B314" t="s">
        <v>33</v>
      </c>
      <c r="C314" s="1">
        <v>45586</v>
      </c>
      <c r="D314" t="s">
        <v>82</v>
      </c>
      <c r="E314" t="s">
        <v>162</v>
      </c>
      <c r="F314">
        <v>4275</v>
      </c>
      <c r="G314">
        <v>680</v>
      </c>
      <c r="H314">
        <v>385</v>
      </c>
      <c r="I314">
        <v>64125</v>
      </c>
      <c r="J314">
        <v>63650</v>
      </c>
      <c r="K314">
        <v>104</v>
      </c>
      <c r="L314" t="s">
        <v>49</v>
      </c>
      <c r="M314" t="s">
        <v>19</v>
      </c>
    </row>
    <row r="315" spans="1:13" x14ac:dyDescent="0.3">
      <c r="A315" t="s">
        <v>360</v>
      </c>
      <c r="B315" t="s">
        <v>33</v>
      </c>
      <c r="C315" s="1">
        <v>45738</v>
      </c>
      <c r="D315" t="s">
        <v>68</v>
      </c>
      <c r="E315" t="s">
        <v>69</v>
      </c>
      <c r="F315">
        <v>3166</v>
      </c>
      <c r="G315">
        <v>90</v>
      </c>
      <c r="H315">
        <v>341</v>
      </c>
      <c r="I315">
        <v>56988</v>
      </c>
      <c r="J315">
        <v>56125</v>
      </c>
      <c r="K315">
        <v>135</v>
      </c>
      <c r="L315" t="s">
        <v>60</v>
      </c>
      <c r="M315" t="s">
        <v>11</v>
      </c>
    </row>
    <row r="316" spans="1:13" x14ac:dyDescent="0.3">
      <c r="A316" t="s">
        <v>361</v>
      </c>
      <c r="B316" t="s">
        <v>30</v>
      </c>
      <c r="C316" s="1">
        <v>45568</v>
      </c>
      <c r="D316" t="s">
        <v>82</v>
      </c>
      <c r="E316" t="s">
        <v>89</v>
      </c>
      <c r="F316">
        <v>1488</v>
      </c>
      <c r="G316">
        <v>417</v>
      </c>
      <c r="H316">
        <v>168</v>
      </c>
      <c r="I316">
        <v>19344</v>
      </c>
      <c r="J316">
        <v>18395</v>
      </c>
      <c r="K316">
        <v>30</v>
      </c>
      <c r="L316" t="s">
        <v>48</v>
      </c>
      <c r="M316" t="s">
        <v>15</v>
      </c>
    </row>
    <row r="317" spans="1:13" x14ac:dyDescent="0.3">
      <c r="A317" t="s">
        <v>362</v>
      </c>
      <c r="B317" t="s">
        <v>32</v>
      </c>
      <c r="C317" s="1">
        <v>45786</v>
      </c>
      <c r="D317" t="s">
        <v>46</v>
      </c>
      <c r="E317" t="s">
        <v>47</v>
      </c>
      <c r="F317">
        <v>3367</v>
      </c>
      <c r="G317">
        <v>302</v>
      </c>
      <c r="H317">
        <v>57</v>
      </c>
      <c r="I317">
        <v>63973</v>
      </c>
      <c r="J317">
        <v>63789</v>
      </c>
      <c r="K317">
        <v>157</v>
      </c>
      <c r="L317" t="s">
        <v>48</v>
      </c>
      <c r="M317" t="s">
        <v>11</v>
      </c>
    </row>
    <row r="318" spans="1:13" x14ac:dyDescent="0.3">
      <c r="A318" t="s">
        <v>363</v>
      </c>
      <c r="B318" t="s">
        <v>32</v>
      </c>
      <c r="C318" s="1">
        <v>45552</v>
      </c>
      <c r="D318" t="s">
        <v>51</v>
      </c>
      <c r="E318" t="s">
        <v>52</v>
      </c>
      <c r="F318">
        <v>571</v>
      </c>
      <c r="G318">
        <v>190</v>
      </c>
      <c r="H318">
        <v>352</v>
      </c>
      <c r="I318">
        <v>9707</v>
      </c>
      <c r="J318">
        <v>9418</v>
      </c>
      <c r="K318">
        <v>231</v>
      </c>
      <c r="L318" t="s">
        <v>53</v>
      </c>
      <c r="M318" t="s">
        <v>19</v>
      </c>
    </row>
    <row r="319" spans="1:13" x14ac:dyDescent="0.3">
      <c r="A319" t="s">
        <v>364</v>
      </c>
      <c r="B319" t="s">
        <v>33</v>
      </c>
      <c r="C319" s="1">
        <v>45491</v>
      </c>
      <c r="D319" t="s">
        <v>51</v>
      </c>
      <c r="E319" t="s">
        <v>99</v>
      </c>
      <c r="F319">
        <v>4021</v>
      </c>
      <c r="G319">
        <v>794</v>
      </c>
      <c r="H319">
        <v>77</v>
      </c>
      <c r="I319">
        <v>36189</v>
      </c>
      <c r="J319">
        <v>35505</v>
      </c>
      <c r="K319">
        <v>174</v>
      </c>
      <c r="L319" t="s">
        <v>60</v>
      </c>
    </row>
    <row r="320" spans="1:13" x14ac:dyDescent="0.3">
      <c r="A320" t="s">
        <v>365</v>
      </c>
      <c r="B320" t="s">
        <v>33</v>
      </c>
      <c r="C320" s="1">
        <v>45560</v>
      </c>
      <c r="D320" t="s">
        <v>82</v>
      </c>
      <c r="E320" t="s">
        <v>162</v>
      </c>
      <c r="F320">
        <v>3389</v>
      </c>
      <c r="G320">
        <v>344</v>
      </c>
      <c r="H320">
        <v>229</v>
      </c>
      <c r="I320">
        <v>20334</v>
      </c>
      <c r="J320">
        <v>19443</v>
      </c>
      <c r="K320">
        <v>228</v>
      </c>
      <c r="L320" t="s">
        <v>48</v>
      </c>
      <c r="M320" t="s">
        <v>15</v>
      </c>
    </row>
    <row r="321" spans="1:13" x14ac:dyDescent="0.3">
      <c r="A321" t="s">
        <v>366</v>
      </c>
      <c r="B321" t="s">
        <v>30</v>
      </c>
      <c r="C321" s="1">
        <v>45519</v>
      </c>
      <c r="D321" t="s">
        <v>46</v>
      </c>
      <c r="E321" t="s">
        <v>87</v>
      </c>
      <c r="F321">
        <v>1164</v>
      </c>
      <c r="G321">
        <v>616</v>
      </c>
      <c r="H321">
        <v>324</v>
      </c>
      <c r="I321">
        <v>6984</v>
      </c>
      <c r="J321">
        <v>6636</v>
      </c>
      <c r="K321">
        <v>82</v>
      </c>
      <c r="L321" t="s">
        <v>60</v>
      </c>
      <c r="M321" t="s">
        <v>7</v>
      </c>
    </row>
    <row r="322" spans="1:13" x14ac:dyDescent="0.3">
      <c r="A322" t="s">
        <v>367</v>
      </c>
      <c r="B322" t="s">
        <v>33</v>
      </c>
      <c r="C322" s="1">
        <v>45764</v>
      </c>
      <c r="D322" t="s">
        <v>63</v>
      </c>
      <c r="E322" t="s">
        <v>78</v>
      </c>
      <c r="F322">
        <v>4780</v>
      </c>
      <c r="G322">
        <v>691</v>
      </c>
      <c r="H322">
        <v>380</v>
      </c>
      <c r="I322">
        <v>86040</v>
      </c>
      <c r="J322">
        <v>85743</v>
      </c>
      <c r="K322">
        <v>262</v>
      </c>
      <c r="L322" t="s">
        <v>48</v>
      </c>
      <c r="M322" t="s">
        <v>15</v>
      </c>
    </row>
    <row r="323" spans="1:13" x14ac:dyDescent="0.3">
      <c r="A323" t="s">
        <v>368</v>
      </c>
      <c r="B323" t="s">
        <v>31</v>
      </c>
      <c r="C323" s="1">
        <v>45624</v>
      </c>
      <c r="D323" t="s">
        <v>63</v>
      </c>
      <c r="E323" t="s">
        <v>64</v>
      </c>
      <c r="F323">
        <v>2751</v>
      </c>
      <c r="G323">
        <v>33</v>
      </c>
      <c r="H323">
        <v>430</v>
      </c>
      <c r="I323">
        <v>44016</v>
      </c>
      <c r="J323">
        <v>43415</v>
      </c>
      <c r="K323">
        <v>129</v>
      </c>
      <c r="L323" t="s">
        <v>48</v>
      </c>
    </row>
    <row r="324" spans="1:13" x14ac:dyDescent="0.3">
      <c r="A324" t="s">
        <v>369</v>
      </c>
      <c r="B324" t="s">
        <v>30</v>
      </c>
      <c r="C324" s="1">
        <v>45646</v>
      </c>
      <c r="D324" t="s">
        <v>63</v>
      </c>
      <c r="E324" t="s">
        <v>91</v>
      </c>
      <c r="F324">
        <v>2107</v>
      </c>
      <c r="G324">
        <v>550</v>
      </c>
      <c r="H324">
        <v>349</v>
      </c>
      <c r="I324">
        <v>35819</v>
      </c>
      <c r="J324">
        <v>35340</v>
      </c>
      <c r="K324">
        <v>191</v>
      </c>
      <c r="L324" t="s">
        <v>60</v>
      </c>
      <c r="M324" t="s">
        <v>19</v>
      </c>
    </row>
    <row r="325" spans="1:13" x14ac:dyDescent="0.3">
      <c r="A325" t="s">
        <v>370</v>
      </c>
      <c r="B325" t="s">
        <v>31</v>
      </c>
      <c r="C325" s="1">
        <v>45602</v>
      </c>
      <c r="D325" t="s">
        <v>82</v>
      </c>
      <c r="E325" t="s">
        <v>83</v>
      </c>
      <c r="F325">
        <v>4663</v>
      </c>
      <c r="G325">
        <v>145</v>
      </c>
      <c r="H325">
        <v>225</v>
      </c>
      <c r="I325">
        <v>69945</v>
      </c>
      <c r="J325">
        <v>69596</v>
      </c>
      <c r="K325">
        <v>35</v>
      </c>
      <c r="L325" t="s">
        <v>60</v>
      </c>
      <c r="M325" t="s">
        <v>19</v>
      </c>
    </row>
    <row r="326" spans="1:13" x14ac:dyDescent="0.3">
      <c r="A326" t="s">
        <v>371</v>
      </c>
      <c r="B326" t="s">
        <v>31</v>
      </c>
      <c r="C326" s="1">
        <v>45613</v>
      </c>
      <c r="D326" t="s">
        <v>51</v>
      </c>
      <c r="E326" t="s">
        <v>71</v>
      </c>
      <c r="F326">
        <v>880</v>
      </c>
      <c r="G326">
        <v>297</v>
      </c>
      <c r="H326">
        <v>345</v>
      </c>
      <c r="I326">
        <v>12320</v>
      </c>
      <c r="J326">
        <v>11978</v>
      </c>
      <c r="K326">
        <v>238</v>
      </c>
      <c r="L326" t="s">
        <v>53</v>
      </c>
    </row>
    <row r="327" spans="1:13" x14ac:dyDescent="0.3">
      <c r="A327" t="s">
        <v>371</v>
      </c>
      <c r="B327" t="s">
        <v>31</v>
      </c>
      <c r="C327" s="1">
        <v>45613</v>
      </c>
      <c r="D327" t="s">
        <v>51</v>
      </c>
      <c r="E327" t="s">
        <v>71</v>
      </c>
      <c r="F327">
        <v>880</v>
      </c>
      <c r="G327">
        <v>297</v>
      </c>
      <c r="H327">
        <v>345</v>
      </c>
      <c r="I327">
        <v>12320</v>
      </c>
      <c r="J327">
        <v>11978</v>
      </c>
      <c r="K327">
        <v>238</v>
      </c>
      <c r="L327" t="s">
        <v>49</v>
      </c>
    </row>
    <row r="328" spans="1:13" x14ac:dyDescent="0.3">
      <c r="A328" t="s">
        <v>372</v>
      </c>
      <c r="B328" t="s">
        <v>31</v>
      </c>
      <c r="C328" s="1">
        <v>45791</v>
      </c>
      <c r="D328" t="s">
        <v>51</v>
      </c>
      <c r="E328" t="s">
        <v>71</v>
      </c>
      <c r="F328">
        <v>2634</v>
      </c>
      <c r="G328">
        <v>726</v>
      </c>
      <c r="H328">
        <v>241</v>
      </c>
      <c r="I328">
        <v>28974</v>
      </c>
      <c r="J328">
        <v>28102</v>
      </c>
      <c r="K328">
        <v>277</v>
      </c>
      <c r="L328" t="s">
        <v>60</v>
      </c>
      <c r="M328" t="s">
        <v>7</v>
      </c>
    </row>
    <row r="329" spans="1:13" x14ac:dyDescent="0.3">
      <c r="A329" t="s">
        <v>373</v>
      </c>
      <c r="B329" t="s">
        <v>31</v>
      </c>
      <c r="C329" s="1">
        <v>45462</v>
      </c>
      <c r="D329" t="s">
        <v>63</v>
      </c>
      <c r="E329" t="s">
        <v>64</v>
      </c>
      <c r="F329">
        <v>4731</v>
      </c>
      <c r="G329">
        <v>173</v>
      </c>
      <c r="H329">
        <v>276</v>
      </c>
      <c r="I329">
        <v>28386</v>
      </c>
      <c r="J329">
        <v>28185</v>
      </c>
      <c r="K329">
        <v>89</v>
      </c>
      <c r="L329" t="s">
        <v>60</v>
      </c>
      <c r="M329" t="s">
        <v>15</v>
      </c>
    </row>
    <row r="330" spans="1:13" x14ac:dyDescent="0.3">
      <c r="A330" t="s">
        <v>374</v>
      </c>
      <c r="B330" t="s">
        <v>32</v>
      </c>
      <c r="C330" s="1">
        <v>45783</v>
      </c>
      <c r="D330" t="s">
        <v>68</v>
      </c>
      <c r="E330" t="s">
        <v>114</v>
      </c>
      <c r="F330">
        <v>1952</v>
      </c>
      <c r="G330">
        <v>344</v>
      </c>
      <c r="H330">
        <v>287</v>
      </c>
      <c r="I330">
        <v>15616</v>
      </c>
      <c r="J330">
        <v>15403</v>
      </c>
      <c r="K330">
        <v>235</v>
      </c>
      <c r="L330" t="s">
        <v>48</v>
      </c>
      <c r="M330" t="s">
        <v>11</v>
      </c>
    </row>
    <row r="331" spans="1:13" x14ac:dyDescent="0.3">
      <c r="A331" t="s">
        <v>374</v>
      </c>
      <c r="B331" t="s">
        <v>32</v>
      </c>
      <c r="C331" s="1">
        <v>45783</v>
      </c>
      <c r="D331" t="s">
        <v>68</v>
      </c>
      <c r="E331" t="s">
        <v>114</v>
      </c>
      <c r="F331">
        <v>1952</v>
      </c>
      <c r="G331">
        <v>344</v>
      </c>
      <c r="H331">
        <v>287</v>
      </c>
      <c r="I331">
        <v>15616</v>
      </c>
      <c r="J331">
        <v>15403</v>
      </c>
      <c r="K331">
        <v>235</v>
      </c>
      <c r="L331" t="s">
        <v>53</v>
      </c>
      <c r="M331" t="s">
        <v>11</v>
      </c>
    </row>
    <row r="332" spans="1:13" x14ac:dyDescent="0.3">
      <c r="A332" t="s">
        <v>374</v>
      </c>
      <c r="B332" t="s">
        <v>32</v>
      </c>
      <c r="C332" s="1">
        <v>45783</v>
      </c>
      <c r="D332" t="s">
        <v>68</v>
      </c>
      <c r="E332" t="s">
        <v>114</v>
      </c>
      <c r="F332">
        <v>1952</v>
      </c>
      <c r="G332">
        <v>344</v>
      </c>
      <c r="H332">
        <v>287</v>
      </c>
      <c r="I332">
        <v>15616</v>
      </c>
      <c r="J332">
        <v>15403</v>
      </c>
      <c r="K332">
        <v>235</v>
      </c>
      <c r="L332" t="s">
        <v>49</v>
      </c>
      <c r="M332" t="s">
        <v>11</v>
      </c>
    </row>
    <row r="333" spans="1:13" x14ac:dyDescent="0.3">
      <c r="A333" t="s">
        <v>375</v>
      </c>
      <c r="B333" t="s">
        <v>32</v>
      </c>
      <c r="C333" s="1">
        <v>45699</v>
      </c>
      <c r="D333" t="s">
        <v>82</v>
      </c>
      <c r="E333" t="s">
        <v>121</v>
      </c>
      <c r="F333">
        <v>3440</v>
      </c>
      <c r="G333">
        <v>13</v>
      </c>
      <c r="H333">
        <v>20</v>
      </c>
      <c r="I333">
        <v>58480</v>
      </c>
      <c r="J333">
        <v>58146</v>
      </c>
      <c r="K333">
        <v>210</v>
      </c>
      <c r="L333" t="s">
        <v>53</v>
      </c>
      <c r="M333" t="s">
        <v>19</v>
      </c>
    </row>
    <row r="334" spans="1:13" x14ac:dyDescent="0.3">
      <c r="A334" t="s">
        <v>375</v>
      </c>
      <c r="B334" t="s">
        <v>32</v>
      </c>
      <c r="C334" s="1">
        <v>45699</v>
      </c>
      <c r="D334" t="s">
        <v>82</v>
      </c>
      <c r="E334" t="s">
        <v>121</v>
      </c>
      <c r="F334">
        <v>3440</v>
      </c>
      <c r="G334">
        <v>13</v>
      </c>
      <c r="H334">
        <v>20</v>
      </c>
      <c r="I334">
        <v>58480</v>
      </c>
      <c r="J334">
        <v>58146</v>
      </c>
      <c r="K334">
        <v>210</v>
      </c>
      <c r="L334" t="s">
        <v>18</v>
      </c>
      <c r="M334" t="s">
        <v>19</v>
      </c>
    </row>
    <row r="335" spans="1:13" x14ac:dyDescent="0.3">
      <c r="A335" t="s">
        <v>376</v>
      </c>
      <c r="B335" t="s">
        <v>32</v>
      </c>
      <c r="C335" s="1">
        <v>45650</v>
      </c>
      <c r="D335" t="s">
        <v>51</v>
      </c>
      <c r="E335" t="s">
        <v>52</v>
      </c>
      <c r="F335">
        <v>2166</v>
      </c>
      <c r="G335">
        <v>354</v>
      </c>
      <c r="H335">
        <v>117</v>
      </c>
      <c r="I335">
        <v>10830</v>
      </c>
      <c r="J335">
        <v>10245</v>
      </c>
      <c r="K335">
        <v>24</v>
      </c>
      <c r="L335" t="s">
        <v>60</v>
      </c>
      <c r="M335" t="s">
        <v>19</v>
      </c>
    </row>
    <row r="336" spans="1:13" x14ac:dyDescent="0.3">
      <c r="A336" t="s">
        <v>377</v>
      </c>
      <c r="B336" t="s">
        <v>31</v>
      </c>
      <c r="C336" s="1">
        <v>45589</v>
      </c>
      <c r="D336" t="s">
        <v>68</v>
      </c>
      <c r="E336" t="s">
        <v>73</v>
      </c>
      <c r="F336">
        <v>4303</v>
      </c>
      <c r="G336">
        <v>451</v>
      </c>
      <c r="H336">
        <v>286</v>
      </c>
      <c r="I336">
        <v>86060</v>
      </c>
      <c r="J336">
        <v>85823</v>
      </c>
      <c r="K336">
        <v>14</v>
      </c>
      <c r="L336" t="s">
        <v>53</v>
      </c>
      <c r="M336" t="s">
        <v>15</v>
      </c>
    </row>
    <row r="337" spans="1:13" x14ac:dyDescent="0.3">
      <c r="A337" t="s">
        <v>378</v>
      </c>
      <c r="B337" t="s">
        <v>31</v>
      </c>
      <c r="C337" s="1">
        <v>45530</v>
      </c>
      <c r="D337" t="s">
        <v>68</v>
      </c>
      <c r="E337" t="s">
        <v>73</v>
      </c>
      <c r="F337">
        <v>2581</v>
      </c>
      <c r="G337">
        <v>517</v>
      </c>
      <c r="H337">
        <v>117</v>
      </c>
      <c r="I337">
        <v>23229</v>
      </c>
      <c r="J337">
        <v>22331</v>
      </c>
      <c r="K337">
        <v>70</v>
      </c>
      <c r="L337" t="s">
        <v>48</v>
      </c>
      <c r="M337" t="s">
        <v>15</v>
      </c>
    </row>
    <row r="338" spans="1:13" x14ac:dyDescent="0.3">
      <c r="A338" t="s">
        <v>379</v>
      </c>
      <c r="B338" t="s">
        <v>32</v>
      </c>
      <c r="C338" s="1">
        <v>45535</v>
      </c>
      <c r="D338" t="s">
        <v>63</v>
      </c>
      <c r="E338" t="s">
        <v>66</v>
      </c>
      <c r="F338">
        <v>4494</v>
      </c>
      <c r="G338">
        <v>717</v>
      </c>
      <c r="H338">
        <v>45</v>
      </c>
      <c r="I338">
        <v>62916</v>
      </c>
      <c r="J338">
        <v>62688</v>
      </c>
      <c r="K338">
        <v>191</v>
      </c>
      <c r="L338" t="s">
        <v>53</v>
      </c>
      <c r="M338" t="s">
        <v>7</v>
      </c>
    </row>
    <row r="339" spans="1:13" x14ac:dyDescent="0.3">
      <c r="A339" t="s">
        <v>379</v>
      </c>
      <c r="B339" t="s">
        <v>32</v>
      </c>
      <c r="C339" s="1">
        <v>45535</v>
      </c>
      <c r="D339" t="s">
        <v>63</v>
      </c>
      <c r="E339" t="s">
        <v>66</v>
      </c>
      <c r="F339">
        <v>4494</v>
      </c>
      <c r="G339">
        <v>717</v>
      </c>
      <c r="H339">
        <v>45</v>
      </c>
      <c r="I339">
        <v>62916</v>
      </c>
      <c r="J339">
        <v>62688</v>
      </c>
      <c r="K339">
        <v>191</v>
      </c>
      <c r="L339" t="s">
        <v>60</v>
      </c>
      <c r="M339" t="s">
        <v>7</v>
      </c>
    </row>
    <row r="340" spans="1:13" x14ac:dyDescent="0.3">
      <c r="A340" t="s">
        <v>379</v>
      </c>
      <c r="B340" t="s">
        <v>32</v>
      </c>
      <c r="C340" s="1">
        <v>45535</v>
      </c>
      <c r="D340" t="s">
        <v>63</v>
      </c>
      <c r="E340" t="s">
        <v>66</v>
      </c>
      <c r="F340">
        <v>4494</v>
      </c>
      <c r="G340">
        <v>717</v>
      </c>
      <c r="H340">
        <v>45</v>
      </c>
      <c r="I340">
        <v>62916</v>
      </c>
      <c r="J340">
        <v>62688</v>
      </c>
      <c r="K340">
        <v>191</v>
      </c>
      <c r="L340" t="s">
        <v>54</v>
      </c>
      <c r="M340" t="s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BB15F-3B12-43BE-9F34-4E18B40EF519}">
  <dimension ref="A1:N201"/>
  <sheetViews>
    <sheetView topLeftCell="B1" workbookViewId="0">
      <selection activeCell="L3" sqref="L3:O5"/>
    </sheetView>
  </sheetViews>
  <sheetFormatPr defaultRowHeight="14.4" x14ac:dyDescent="0.3"/>
  <cols>
    <col min="1" max="1" width="18" style="1" bestFit="1" customWidth="1"/>
    <col min="2" max="2" width="10.5546875" bestFit="1" customWidth="1"/>
    <col min="3" max="3" width="16" bestFit="1" customWidth="1"/>
    <col min="4" max="4" width="11.6640625" bestFit="1" customWidth="1"/>
    <col min="5" max="5" width="16.44140625" bestFit="1" customWidth="1"/>
    <col min="6" max="6" width="18.6640625" bestFit="1" customWidth="1"/>
    <col min="7" max="7" width="11.88671875" customWidth="1"/>
    <col min="8" max="8" width="21.44140625" style="7" bestFit="1" customWidth="1"/>
    <col min="9" max="9" width="13.6640625" style="9" bestFit="1" customWidth="1"/>
    <col min="10" max="10" width="17.21875" bestFit="1" customWidth="1"/>
  </cols>
  <sheetData>
    <row r="1" spans="1:14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s="7" t="s">
        <v>438</v>
      </c>
      <c r="I1" t="s">
        <v>389</v>
      </c>
      <c r="J1" t="s">
        <v>416</v>
      </c>
    </row>
    <row r="2" spans="1:14" ht="15" thickBot="1" x14ac:dyDescent="0.35">
      <c r="A2" s="1">
        <v>45446</v>
      </c>
      <c r="B2" t="s">
        <v>30</v>
      </c>
      <c r="C2">
        <v>1135</v>
      </c>
      <c r="D2">
        <v>88</v>
      </c>
      <c r="E2">
        <v>344084</v>
      </c>
      <c r="F2">
        <v>8.06</v>
      </c>
      <c r="G2">
        <v>5904</v>
      </c>
      <c r="H2" s="7">
        <f>Engagement_Summary[[#This Row],[New_Followers]]-Engagement_Summary[[#This Row],[Unfollows]]</f>
        <v>1047</v>
      </c>
      <c r="I2" s="9">
        <f>Engagement_Summary[[#This Row],[Net Growth Followers]]/Engagement_Summary[[#This Row],[Total_Followers]]</f>
        <v>3.0428616268120576E-3</v>
      </c>
      <c r="J2" t="str">
        <f>_xlfn.XLOOKUP(Engagement_Summary[[#This Row],[Week_Start_Date]],Task1!C:C,Task1!M:M,"NA",-1)</f>
        <v>SustainabilityDrive</v>
      </c>
    </row>
    <row r="3" spans="1:14" x14ac:dyDescent="0.3">
      <c r="A3" s="1">
        <v>45446</v>
      </c>
      <c r="B3" t="s">
        <v>31</v>
      </c>
      <c r="C3">
        <v>1312</v>
      </c>
      <c r="D3">
        <v>310</v>
      </c>
      <c r="E3">
        <v>42654</v>
      </c>
      <c r="F3">
        <v>4.9800000000000004</v>
      </c>
      <c r="G3">
        <v>9566</v>
      </c>
      <c r="H3" s="7">
        <f>Engagement_Summary[[#This Row],[New_Followers]]-Engagement_Summary[[#This Row],[Unfollows]]</f>
        <v>1002</v>
      </c>
      <c r="I3" s="9">
        <f>Engagement_Summary[[#This Row],[Net Growth Followers]]/Engagement_Summary[[#This Row],[Total_Followers]]</f>
        <v>2.3491348994232664E-2</v>
      </c>
      <c r="J3" t="str">
        <f>_xlfn.XLOOKUP(Engagement_Summary[[#This Row],[Week_Start_Date]],Task1!C:C,Task1!M:M,"NA",-1)</f>
        <v>SustainabilityDrive</v>
      </c>
      <c r="L3" s="16"/>
      <c r="M3" s="16"/>
      <c r="N3" s="16"/>
    </row>
    <row r="4" spans="1:14" x14ac:dyDescent="0.3">
      <c r="A4" s="1">
        <v>45446</v>
      </c>
      <c r="B4" t="s">
        <v>32</v>
      </c>
      <c r="C4">
        <v>584</v>
      </c>
      <c r="D4">
        <v>169</v>
      </c>
      <c r="E4">
        <v>146834</v>
      </c>
      <c r="F4">
        <v>8.31</v>
      </c>
      <c r="G4">
        <v>26752</v>
      </c>
      <c r="H4" s="7">
        <f>Engagement_Summary[[#This Row],[New_Followers]]-Engagement_Summary[[#This Row],[Unfollows]]</f>
        <v>415</v>
      </c>
      <c r="I4" s="9">
        <f>Engagement_Summary[[#This Row],[Net Growth Followers]]/Engagement_Summary[[#This Row],[Total_Followers]]</f>
        <v>2.826320879360366E-3</v>
      </c>
      <c r="J4" t="str">
        <f>_xlfn.XLOOKUP(Engagement_Summary[[#This Row],[Week_Start_Date]],Task1!C:C,Task1!M:M,"NA",-1)</f>
        <v>SustainabilityDrive</v>
      </c>
    </row>
    <row r="5" spans="1:14" ht="15" thickBot="1" x14ac:dyDescent="0.35">
      <c r="A5" s="1">
        <v>45446</v>
      </c>
      <c r="B5" t="s">
        <v>33</v>
      </c>
      <c r="C5">
        <v>1535</v>
      </c>
      <c r="D5">
        <v>445</v>
      </c>
      <c r="E5">
        <v>395536</v>
      </c>
      <c r="F5">
        <v>4.1100000000000003</v>
      </c>
      <c r="G5">
        <v>30671</v>
      </c>
      <c r="H5" s="7">
        <f>Engagement_Summary[[#This Row],[New_Followers]]-Engagement_Summary[[#This Row],[Unfollows]]</f>
        <v>1090</v>
      </c>
      <c r="I5" s="9">
        <f>Engagement_Summary[[#This Row],[Net Growth Followers]]/Engagement_Summary[[#This Row],[Total_Followers]]</f>
        <v>2.7557542170624167E-3</v>
      </c>
      <c r="J5" t="str">
        <f>_xlfn.XLOOKUP(Engagement_Summary[[#This Row],[Week_Start_Date]],Task1!C:C,Task1!M:M,"NA",-1)</f>
        <v>SustainabilityDrive</v>
      </c>
      <c r="L5" s="15"/>
      <c r="M5" s="15"/>
      <c r="N5" s="15"/>
    </row>
    <row r="6" spans="1:14" x14ac:dyDescent="0.3">
      <c r="A6" s="1">
        <v>45453</v>
      </c>
      <c r="B6" t="s">
        <v>30</v>
      </c>
      <c r="C6">
        <v>656</v>
      </c>
      <c r="D6">
        <v>139</v>
      </c>
      <c r="E6">
        <v>49157</v>
      </c>
      <c r="F6">
        <v>9.0500000000000007</v>
      </c>
      <c r="G6">
        <v>9920</v>
      </c>
      <c r="H6" s="7">
        <f>Engagement_Summary[[#This Row],[New_Followers]]-Engagement_Summary[[#This Row],[Unfollows]]</f>
        <v>517</v>
      </c>
      <c r="I6" s="9">
        <f>Engagement_Summary[[#This Row],[Net Growth Followers]]/Engagement_Summary[[#This Row],[Total_Followers]]</f>
        <v>1.0517322049758936E-2</v>
      </c>
      <c r="J6" t="str">
        <f>_xlfn.XLOOKUP(Engagement_Summary[[#This Row],[Week_Start_Date]],Task1!C:C,Task1!M:M,"NA",-1)</f>
        <v>SustainabilityDrive</v>
      </c>
    </row>
    <row r="7" spans="1:14" x14ac:dyDescent="0.3">
      <c r="A7" s="1">
        <v>45453</v>
      </c>
      <c r="B7" t="s">
        <v>31</v>
      </c>
      <c r="C7">
        <v>1697</v>
      </c>
      <c r="D7">
        <v>414</v>
      </c>
      <c r="E7">
        <v>316555</v>
      </c>
      <c r="F7">
        <v>2.37</v>
      </c>
      <c r="G7">
        <v>7924</v>
      </c>
      <c r="H7" s="7">
        <f>Engagement_Summary[[#This Row],[New_Followers]]-Engagement_Summary[[#This Row],[Unfollows]]</f>
        <v>1283</v>
      </c>
      <c r="I7" s="9">
        <f>Engagement_Summary[[#This Row],[Net Growth Followers]]/Engagement_Summary[[#This Row],[Total_Followers]]</f>
        <v>4.0530081660374974E-3</v>
      </c>
      <c r="J7" t="str">
        <f>_xlfn.XLOOKUP(Engagement_Summary[[#This Row],[Week_Start_Date]],Task1!C:C,Task1!M:M,"NA",-1)</f>
        <v>SustainabilityDrive</v>
      </c>
    </row>
    <row r="8" spans="1:14" x14ac:dyDescent="0.3">
      <c r="A8" s="1">
        <v>45453</v>
      </c>
      <c r="B8" t="s">
        <v>32</v>
      </c>
      <c r="C8">
        <v>436</v>
      </c>
      <c r="D8">
        <v>250</v>
      </c>
      <c r="E8">
        <v>254347</v>
      </c>
      <c r="F8">
        <v>4.01</v>
      </c>
      <c r="G8">
        <v>8912</v>
      </c>
      <c r="H8" s="7">
        <f>Engagement_Summary[[#This Row],[New_Followers]]-Engagement_Summary[[#This Row],[Unfollows]]</f>
        <v>186</v>
      </c>
      <c r="I8" s="9">
        <f>Engagement_Summary[[#This Row],[Net Growth Followers]]/Engagement_Summary[[#This Row],[Total_Followers]]</f>
        <v>7.3128442639386348E-4</v>
      </c>
      <c r="J8" t="str">
        <f>_xlfn.XLOOKUP(Engagement_Summary[[#This Row],[Week_Start_Date]],Task1!C:C,Task1!M:M,"NA",-1)</f>
        <v>SustainabilityDrive</v>
      </c>
    </row>
    <row r="9" spans="1:14" x14ac:dyDescent="0.3">
      <c r="A9" s="1">
        <v>45453</v>
      </c>
      <c r="B9" t="s">
        <v>33</v>
      </c>
      <c r="C9">
        <v>1197</v>
      </c>
      <c r="D9">
        <v>203</v>
      </c>
      <c r="E9">
        <v>413878</v>
      </c>
      <c r="F9">
        <v>3.16</v>
      </c>
      <c r="G9">
        <v>21205</v>
      </c>
      <c r="H9" s="7">
        <f>Engagement_Summary[[#This Row],[New_Followers]]-Engagement_Summary[[#This Row],[Unfollows]]</f>
        <v>994</v>
      </c>
      <c r="I9" s="9">
        <f>Engagement_Summary[[#This Row],[Net Growth Followers]]/Engagement_Summary[[#This Row],[Total_Followers]]</f>
        <v>2.4016739232334168E-3</v>
      </c>
      <c r="J9" t="str">
        <f>_xlfn.XLOOKUP(Engagement_Summary[[#This Row],[Week_Start_Date]],Task1!C:C,Task1!M:M,"NA",-1)</f>
        <v>SustainabilityDrive</v>
      </c>
    </row>
    <row r="10" spans="1:14" x14ac:dyDescent="0.3">
      <c r="A10" s="1">
        <v>45460</v>
      </c>
      <c r="B10" t="s">
        <v>30</v>
      </c>
      <c r="C10">
        <v>1048</v>
      </c>
      <c r="D10">
        <v>155</v>
      </c>
      <c r="E10">
        <v>456946</v>
      </c>
      <c r="F10">
        <v>2.46</v>
      </c>
      <c r="G10">
        <v>11329</v>
      </c>
      <c r="H10" s="7">
        <f>Engagement_Summary[[#This Row],[New_Followers]]-Engagement_Summary[[#This Row],[Unfollows]]</f>
        <v>893</v>
      </c>
      <c r="I10" s="9">
        <f>Engagement_Summary[[#This Row],[Net Growth Followers]]/Engagement_Summary[[#This Row],[Total_Followers]]</f>
        <v>1.9542790614208243E-3</v>
      </c>
      <c r="J10" t="str">
        <f>_xlfn.XLOOKUP(Engagement_Summary[[#This Row],[Week_Start_Date]],Task1!C:C,Task1!M:M,"NA",-1)</f>
        <v>SustainabilityDrive</v>
      </c>
    </row>
    <row r="11" spans="1:14" x14ac:dyDescent="0.3">
      <c r="A11" s="1">
        <v>45460</v>
      </c>
      <c r="B11" t="s">
        <v>31</v>
      </c>
      <c r="C11">
        <v>1753</v>
      </c>
      <c r="D11">
        <v>371</v>
      </c>
      <c r="E11">
        <v>169496</v>
      </c>
      <c r="F11">
        <v>8.11</v>
      </c>
      <c r="G11">
        <v>46670</v>
      </c>
      <c r="H11" s="7">
        <f>Engagement_Summary[[#This Row],[New_Followers]]-Engagement_Summary[[#This Row],[Unfollows]]</f>
        <v>1382</v>
      </c>
      <c r="I11" s="9">
        <f>Engagement_Summary[[#This Row],[Net Growth Followers]]/Engagement_Summary[[#This Row],[Total_Followers]]</f>
        <v>8.1535847453627231E-3</v>
      </c>
      <c r="J11" t="str">
        <f>_xlfn.XLOOKUP(Engagement_Summary[[#This Row],[Week_Start_Date]],Task1!C:C,Task1!M:M,"NA",-1)</f>
        <v>SustainabilityDrive</v>
      </c>
    </row>
    <row r="12" spans="1:14" x14ac:dyDescent="0.3">
      <c r="A12" s="1">
        <v>45460</v>
      </c>
      <c r="B12" t="s">
        <v>32</v>
      </c>
      <c r="C12">
        <v>1335</v>
      </c>
      <c r="D12">
        <v>40</v>
      </c>
      <c r="E12">
        <v>122732</v>
      </c>
      <c r="F12">
        <v>8.19</v>
      </c>
      <c r="G12">
        <v>22482</v>
      </c>
      <c r="H12" s="7">
        <f>Engagement_Summary[[#This Row],[New_Followers]]-Engagement_Summary[[#This Row],[Unfollows]]</f>
        <v>1295</v>
      </c>
      <c r="I12" s="9">
        <f>Engagement_Summary[[#This Row],[Net Growth Followers]]/Engagement_Summary[[#This Row],[Total_Followers]]</f>
        <v>1.0551445425805821E-2</v>
      </c>
      <c r="J12" t="str">
        <f>_xlfn.XLOOKUP(Engagement_Summary[[#This Row],[Week_Start_Date]],Task1!C:C,Task1!M:M,"NA",-1)</f>
        <v>SustainabilityDrive</v>
      </c>
    </row>
    <row r="13" spans="1:14" x14ac:dyDescent="0.3">
      <c r="A13" s="1">
        <v>45460</v>
      </c>
      <c r="B13" t="s">
        <v>33</v>
      </c>
      <c r="C13">
        <v>403</v>
      </c>
      <c r="D13">
        <v>66</v>
      </c>
      <c r="E13">
        <v>382851</v>
      </c>
      <c r="F13">
        <v>3.49</v>
      </c>
      <c r="G13">
        <v>24313</v>
      </c>
      <c r="H13" s="7">
        <f>Engagement_Summary[[#This Row],[New_Followers]]-Engagement_Summary[[#This Row],[Unfollows]]</f>
        <v>337</v>
      </c>
      <c r="I13" s="9">
        <f>Engagement_Summary[[#This Row],[Net Growth Followers]]/Engagement_Summary[[#This Row],[Total_Followers]]</f>
        <v>8.80238003818718E-4</v>
      </c>
      <c r="J13" t="str">
        <f>_xlfn.XLOOKUP(Engagement_Summary[[#This Row],[Week_Start_Date]],Task1!C:C,Task1!M:M,"NA",-1)</f>
        <v>SustainabilityDrive</v>
      </c>
    </row>
    <row r="14" spans="1:14" x14ac:dyDescent="0.3">
      <c r="A14" s="1">
        <v>45467</v>
      </c>
      <c r="B14" t="s">
        <v>30</v>
      </c>
      <c r="C14">
        <v>911</v>
      </c>
      <c r="D14">
        <v>282</v>
      </c>
      <c r="E14">
        <v>35664</v>
      </c>
      <c r="F14">
        <v>6.92</v>
      </c>
      <c r="G14">
        <v>18050</v>
      </c>
      <c r="H14" s="7">
        <f>Engagement_Summary[[#This Row],[New_Followers]]-Engagement_Summary[[#This Row],[Unfollows]]</f>
        <v>629</v>
      </c>
      <c r="I14" s="9">
        <f>Engagement_Summary[[#This Row],[Net Growth Followers]]/Engagement_Summary[[#This Row],[Total_Followers]]</f>
        <v>1.7636832660385824E-2</v>
      </c>
      <c r="J14" t="str">
        <f>_xlfn.XLOOKUP(Engagement_Summary[[#This Row],[Week_Start_Date]],Task1!C:C,Task1!M:M,"NA",-1)</f>
        <v>ModelYCampaign</v>
      </c>
    </row>
    <row r="15" spans="1:14" x14ac:dyDescent="0.3">
      <c r="A15" s="1">
        <v>45467</v>
      </c>
      <c r="B15" t="s">
        <v>31</v>
      </c>
      <c r="C15">
        <v>1779</v>
      </c>
      <c r="D15">
        <v>109</v>
      </c>
      <c r="E15">
        <v>26295</v>
      </c>
      <c r="F15">
        <v>9.1199999999999992</v>
      </c>
      <c r="G15">
        <v>30635</v>
      </c>
      <c r="H15" s="7">
        <f>Engagement_Summary[[#This Row],[New_Followers]]-Engagement_Summary[[#This Row],[Unfollows]]</f>
        <v>1670</v>
      </c>
      <c r="I15" s="9">
        <f>Engagement_Summary[[#This Row],[Net Growth Followers]]/Engagement_Summary[[#This Row],[Total_Followers]]</f>
        <v>6.3510173036698994E-2</v>
      </c>
      <c r="J15" t="str">
        <f>_xlfn.XLOOKUP(Engagement_Summary[[#This Row],[Week_Start_Date]],Task1!C:C,Task1!M:M,"NA",-1)</f>
        <v>ModelYCampaign</v>
      </c>
    </row>
    <row r="16" spans="1:14" x14ac:dyDescent="0.3">
      <c r="A16" s="1">
        <v>45467</v>
      </c>
      <c r="B16" t="s">
        <v>32</v>
      </c>
      <c r="C16">
        <v>1238</v>
      </c>
      <c r="D16">
        <v>403</v>
      </c>
      <c r="E16">
        <v>298421</v>
      </c>
      <c r="F16">
        <v>3.5</v>
      </c>
      <c r="G16">
        <v>31280</v>
      </c>
      <c r="H16" s="7">
        <f>Engagement_Summary[[#This Row],[New_Followers]]-Engagement_Summary[[#This Row],[Unfollows]]</f>
        <v>835</v>
      </c>
      <c r="I16" s="9">
        <f>Engagement_Summary[[#This Row],[Net Growth Followers]]/Engagement_Summary[[#This Row],[Total_Followers]]</f>
        <v>2.798060458211721E-3</v>
      </c>
      <c r="J16" t="str">
        <f>_xlfn.XLOOKUP(Engagement_Summary[[#This Row],[Week_Start_Date]],Task1!C:C,Task1!M:M,"NA",-1)</f>
        <v>ModelYCampaign</v>
      </c>
    </row>
    <row r="17" spans="1:10" x14ac:dyDescent="0.3">
      <c r="A17" s="1">
        <v>45467</v>
      </c>
      <c r="B17" t="s">
        <v>33</v>
      </c>
      <c r="C17">
        <v>308</v>
      </c>
      <c r="D17">
        <v>431</v>
      </c>
      <c r="E17">
        <v>426184</v>
      </c>
      <c r="F17">
        <v>2.62</v>
      </c>
      <c r="G17">
        <v>1783</v>
      </c>
      <c r="H17" s="7">
        <f>Engagement_Summary[[#This Row],[New_Followers]]-Engagement_Summary[[#This Row],[Unfollows]]</f>
        <v>-123</v>
      </c>
      <c r="I17" s="9">
        <f>Engagement_Summary[[#This Row],[Net Growth Followers]]/Engagement_Summary[[#This Row],[Total_Followers]]</f>
        <v>-2.8860773750305035E-4</v>
      </c>
      <c r="J17" t="str">
        <f>_xlfn.XLOOKUP(Engagement_Summary[[#This Row],[Week_Start_Date]],Task1!C:C,Task1!M:M,"NA",-1)</f>
        <v>ModelYCampaign</v>
      </c>
    </row>
    <row r="18" spans="1:10" x14ac:dyDescent="0.3">
      <c r="A18" s="1">
        <v>45474</v>
      </c>
      <c r="B18" t="s">
        <v>30</v>
      </c>
      <c r="C18">
        <v>226</v>
      </c>
      <c r="D18">
        <v>445</v>
      </c>
      <c r="E18">
        <v>419447</v>
      </c>
      <c r="F18">
        <v>9.36</v>
      </c>
      <c r="G18">
        <v>9566</v>
      </c>
      <c r="H18" s="7">
        <f>Engagement_Summary[[#This Row],[New_Followers]]-Engagement_Summary[[#This Row],[Unfollows]]</f>
        <v>-219</v>
      </c>
      <c r="I18" s="9">
        <f>Engagement_Summary[[#This Row],[Net Growth Followers]]/Engagement_Summary[[#This Row],[Total_Followers]]</f>
        <v>-5.2211602419375983E-4</v>
      </c>
      <c r="J18" t="str">
        <f>_xlfn.XLOOKUP(Engagement_Summary[[#This Row],[Week_Start_Date]],Task1!C:C,Task1!M:M,"NA",-1)</f>
        <v>CybertruckLaunch</v>
      </c>
    </row>
    <row r="19" spans="1:10" x14ac:dyDescent="0.3">
      <c r="A19" s="1">
        <v>45474</v>
      </c>
      <c r="B19" t="s">
        <v>31</v>
      </c>
      <c r="C19">
        <v>505</v>
      </c>
      <c r="D19">
        <v>441</v>
      </c>
      <c r="E19">
        <v>220020</v>
      </c>
      <c r="F19">
        <v>4.4800000000000004</v>
      </c>
      <c r="G19">
        <v>42307</v>
      </c>
      <c r="H19" s="7">
        <f>Engagement_Summary[[#This Row],[New_Followers]]-Engagement_Summary[[#This Row],[Unfollows]]</f>
        <v>64</v>
      </c>
      <c r="I19" s="9">
        <f>Engagement_Summary[[#This Row],[Net Growth Followers]]/Engagement_Summary[[#This Row],[Total_Followers]]</f>
        <v>2.9088264703208797E-4</v>
      </c>
      <c r="J19" t="str">
        <f>_xlfn.XLOOKUP(Engagement_Summary[[#This Row],[Week_Start_Date]],Task1!C:C,Task1!M:M,"NA",-1)</f>
        <v>CybertruckLaunch</v>
      </c>
    </row>
    <row r="20" spans="1:10" x14ac:dyDescent="0.3">
      <c r="A20" s="1">
        <v>45474</v>
      </c>
      <c r="B20" t="s">
        <v>32</v>
      </c>
      <c r="C20">
        <v>1420</v>
      </c>
      <c r="D20">
        <v>63</v>
      </c>
      <c r="E20">
        <v>315305</v>
      </c>
      <c r="F20">
        <v>6.19</v>
      </c>
      <c r="G20">
        <v>5914</v>
      </c>
      <c r="H20" s="7">
        <f>Engagement_Summary[[#This Row],[New_Followers]]-Engagement_Summary[[#This Row],[Unfollows]]</f>
        <v>1357</v>
      </c>
      <c r="I20" s="9">
        <f>Engagement_Summary[[#This Row],[Net Growth Followers]]/Engagement_Summary[[#This Row],[Total_Followers]]</f>
        <v>4.3037693661692649E-3</v>
      </c>
      <c r="J20" t="str">
        <f>_xlfn.XLOOKUP(Engagement_Summary[[#This Row],[Week_Start_Date]],Task1!C:C,Task1!M:M,"NA",-1)</f>
        <v>CybertruckLaunch</v>
      </c>
    </row>
    <row r="21" spans="1:10" x14ac:dyDescent="0.3">
      <c r="A21" s="1">
        <v>45474</v>
      </c>
      <c r="B21" t="s">
        <v>33</v>
      </c>
      <c r="C21">
        <v>144</v>
      </c>
      <c r="D21">
        <v>53</v>
      </c>
      <c r="E21">
        <v>113678</v>
      </c>
      <c r="F21">
        <v>8.7200000000000006</v>
      </c>
      <c r="G21">
        <v>30060</v>
      </c>
      <c r="H21" s="7">
        <f>Engagement_Summary[[#This Row],[New_Followers]]-Engagement_Summary[[#This Row],[Unfollows]]</f>
        <v>91</v>
      </c>
      <c r="I21" s="9">
        <f>Engagement_Summary[[#This Row],[Net Growth Followers]]/Engagement_Summary[[#This Row],[Total_Followers]]</f>
        <v>8.0050669434719116E-4</v>
      </c>
      <c r="J21" t="str">
        <f>_xlfn.XLOOKUP(Engagement_Summary[[#This Row],[Week_Start_Date]],Task1!C:C,Task1!M:M,"NA",-1)</f>
        <v>CybertruckLaunch</v>
      </c>
    </row>
    <row r="22" spans="1:10" x14ac:dyDescent="0.3">
      <c r="A22" s="1">
        <v>45481</v>
      </c>
      <c r="B22" t="s">
        <v>30</v>
      </c>
      <c r="C22">
        <v>1757</v>
      </c>
      <c r="D22">
        <v>85</v>
      </c>
      <c r="E22">
        <v>58223</v>
      </c>
      <c r="F22">
        <v>8.74</v>
      </c>
      <c r="G22">
        <v>22728</v>
      </c>
      <c r="H22" s="7">
        <f>Engagement_Summary[[#This Row],[New_Followers]]-Engagement_Summary[[#This Row],[Unfollows]]</f>
        <v>1672</v>
      </c>
      <c r="I22" s="9">
        <f>Engagement_Summary[[#This Row],[Net Growth Followers]]/Engagement_Summary[[#This Row],[Total_Followers]]</f>
        <v>2.8717173625543171E-2</v>
      </c>
      <c r="J22" t="str">
        <f>_xlfn.XLOOKUP(Engagement_Summary[[#This Row],[Week_Start_Date]],Task1!C:C,Task1!M:M,"NA",-1)</f>
        <v>SustainabilityDrive</v>
      </c>
    </row>
    <row r="23" spans="1:10" x14ac:dyDescent="0.3">
      <c r="A23" s="1">
        <v>45481</v>
      </c>
      <c r="B23" t="s">
        <v>31</v>
      </c>
      <c r="C23">
        <v>350</v>
      </c>
      <c r="D23">
        <v>41</v>
      </c>
      <c r="E23">
        <v>251694</v>
      </c>
      <c r="F23">
        <v>1.91</v>
      </c>
      <c r="G23">
        <v>38610</v>
      </c>
      <c r="H23" s="7">
        <f>Engagement_Summary[[#This Row],[New_Followers]]-Engagement_Summary[[#This Row],[Unfollows]]</f>
        <v>309</v>
      </c>
      <c r="I23" s="9">
        <f>Engagement_Summary[[#This Row],[Net Growth Followers]]/Engagement_Summary[[#This Row],[Total_Followers]]</f>
        <v>1.2276812319721568E-3</v>
      </c>
      <c r="J23" t="str">
        <f>_xlfn.XLOOKUP(Engagement_Summary[[#This Row],[Week_Start_Date]],Task1!C:C,Task1!M:M,"NA",-1)</f>
        <v>SustainabilityDrive</v>
      </c>
    </row>
    <row r="24" spans="1:10" x14ac:dyDescent="0.3">
      <c r="A24" s="1">
        <v>45481</v>
      </c>
      <c r="B24" t="s">
        <v>32</v>
      </c>
      <c r="C24">
        <v>987</v>
      </c>
      <c r="D24">
        <v>440</v>
      </c>
      <c r="E24">
        <v>389810</v>
      </c>
      <c r="F24">
        <v>4.66</v>
      </c>
      <c r="G24">
        <v>2932</v>
      </c>
      <c r="H24" s="7">
        <f>Engagement_Summary[[#This Row],[New_Followers]]-Engagement_Summary[[#This Row],[Unfollows]]</f>
        <v>547</v>
      </c>
      <c r="I24" s="9">
        <f>Engagement_Summary[[#This Row],[Net Growth Followers]]/Engagement_Summary[[#This Row],[Total_Followers]]</f>
        <v>1.40324773607655E-3</v>
      </c>
      <c r="J24" t="str">
        <f>_xlfn.XLOOKUP(Engagement_Summary[[#This Row],[Week_Start_Date]],Task1!C:C,Task1!M:M,"NA",-1)</f>
        <v>SustainabilityDrive</v>
      </c>
    </row>
    <row r="25" spans="1:10" x14ac:dyDescent="0.3">
      <c r="A25" s="1">
        <v>45481</v>
      </c>
      <c r="B25" t="s">
        <v>33</v>
      </c>
      <c r="C25">
        <v>883</v>
      </c>
      <c r="D25">
        <v>369</v>
      </c>
      <c r="E25">
        <v>233694</v>
      </c>
      <c r="F25">
        <v>2.88</v>
      </c>
      <c r="G25">
        <v>15071</v>
      </c>
      <c r="H25" s="7">
        <f>Engagement_Summary[[#This Row],[New_Followers]]-Engagement_Summary[[#This Row],[Unfollows]]</f>
        <v>514</v>
      </c>
      <c r="I25" s="9">
        <f>Engagement_Summary[[#This Row],[Net Growth Followers]]/Engagement_Summary[[#This Row],[Total_Followers]]</f>
        <v>2.1994574101175039E-3</v>
      </c>
      <c r="J25" t="str">
        <f>_xlfn.XLOOKUP(Engagement_Summary[[#This Row],[Week_Start_Date]],Task1!C:C,Task1!M:M,"NA",-1)</f>
        <v>SustainabilityDrive</v>
      </c>
    </row>
    <row r="26" spans="1:10" x14ac:dyDescent="0.3">
      <c r="A26" s="1">
        <v>45488</v>
      </c>
      <c r="B26" t="s">
        <v>30</v>
      </c>
      <c r="C26">
        <v>1960</v>
      </c>
      <c r="D26">
        <v>115</v>
      </c>
      <c r="E26">
        <v>154169</v>
      </c>
      <c r="F26">
        <v>3.74</v>
      </c>
      <c r="G26">
        <v>10740</v>
      </c>
      <c r="H26" s="7">
        <f>Engagement_Summary[[#This Row],[New_Followers]]-Engagement_Summary[[#This Row],[Unfollows]]</f>
        <v>1845</v>
      </c>
      <c r="I26" s="9">
        <f>Engagement_Summary[[#This Row],[Net Growth Followers]]/Engagement_Summary[[#This Row],[Total_Followers]]</f>
        <v>1.1967386439556591E-2</v>
      </c>
      <c r="J26" t="str">
        <f>_xlfn.XLOOKUP(Engagement_Summary[[#This Row],[Week_Start_Date]],Task1!C:C,Task1!M:M,"NA",-1)</f>
        <v>ModelYCampaign</v>
      </c>
    </row>
    <row r="27" spans="1:10" x14ac:dyDescent="0.3">
      <c r="A27" s="1">
        <v>45488</v>
      </c>
      <c r="B27" t="s">
        <v>31</v>
      </c>
      <c r="C27">
        <v>170</v>
      </c>
      <c r="D27">
        <v>334</v>
      </c>
      <c r="E27">
        <v>334626</v>
      </c>
      <c r="F27">
        <v>6.44</v>
      </c>
      <c r="G27">
        <v>43420</v>
      </c>
      <c r="H27" s="7">
        <f>Engagement_Summary[[#This Row],[New_Followers]]-Engagement_Summary[[#This Row],[Unfollows]]</f>
        <v>-164</v>
      </c>
      <c r="I27" s="9">
        <f>Engagement_Summary[[#This Row],[Net Growth Followers]]/Engagement_Summary[[#This Row],[Total_Followers]]</f>
        <v>-4.9009939454794306E-4</v>
      </c>
      <c r="J27" t="str">
        <f>_xlfn.XLOOKUP(Engagement_Summary[[#This Row],[Week_Start_Date]],Task1!C:C,Task1!M:M,"NA",-1)</f>
        <v>ModelYCampaign</v>
      </c>
    </row>
    <row r="28" spans="1:10" x14ac:dyDescent="0.3">
      <c r="A28" s="1">
        <v>45488</v>
      </c>
      <c r="B28" t="s">
        <v>32</v>
      </c>
      <c r="C28">
        <v>704</v>
      </c>
      <c r="D28">
        <v>275</v>
      </c>
      <c r="E28">
        <v>226002</v>
      </c>
      <c r="F28">
        <v>8.56</v>
      </c>
      <c r="G28">
        <v>32393</v>
      </c>
      <c r="H28" s="7">
        <f>Engagement_Summary[[#This Row],[New_Followers]]-Engagement_Summary[[#This Row],[Unfollows]]</f>
        <v>429</v>
      </c>
      <c r="I28" s="9">
        <f>Engagement_Summary[[#This Row],[Net Growth Followers]]/Engagement_Summary[[#This Row],[Total_Followers]]</f>
        <v>1.8982132901478749E-3</v>
      </c>
      <c r="J28" t="str">
        <f>_xlfn.XLOOKUP(Engagement_Summary[[#This Row],[Week_Start_Date]],Task1!C:C,Task1!M:M,"NA",-1)</f>
        <v>ModelYCampaign</v>
      </c>
    </row>
    <row r="29" spans="1:10" x14ac:dyDescent="0.3">
      <c r="A29" s="1">
        <v>45488</v>
      </c>
      <c r="B29" t="s">
        <v>33</v>
      </c>
      <c r="C29">
        <v>224</v>
      </c>
      <c r="D29">
        <v>64</v>
      </c>
      <c r="E29">
        <v>156683</v>
      </c>
      <c r="F29">
        <v>4.5599999999999996</v>
      </c>
      <c r="G29">
        <v>28474</v>
      </c>
      <c r="H29" s="7">
        <f>Engagement_Summary[[#This Row],[New_Followers]]-Engagement_Summary[[#This Row],[Unfollows]]</f>
        <v>160</v>
      </c>
      <c r="I29" s="9">
        <f>Engagement_Summary[[#This Row],[Net Growth Followers]]/Engagement_Summary[[#This Row],[Total_Followers]]</f>
        <v>1.0211701333265254E-3</v>
      </c>
      <c r="J29" t="str">
        <f>_xlfn.XLOOKUP(Engagement_Summary[[#This Row],[Week_Start_Date]],Task1!C:C,Task1!M:M,"NA",-1)</f>
        <v>ModelYCampaign</v>
      </c>
    </row>
    <row r="30" spans="1:10" x14ac:dyDescent="0.3">
      <c r="A30" s="1">
        <v>45495</v>
      </c>
      <c r="B30" t="s">
        <v>30</v>
      </c>
      <c r="C30">
        <v>508</v>
      </c>
      <c r="D30">
        <v>349</v>
      </c>
      <c r="E30">
        <v>473812</v>
      </c>
      <c r="F30">
        <v>7.88</v>
      </c>
      <c r="G30">
        <v>17328</v>
      </c>
      <c r="H30" s="7">
        <f>Engagement_Summary[[#This Row],[New_Followers]]-Engagement_Summary[[#This Row],[Unfollows]]</f>
        <v>159</v>
      </c>
      <c r="I30" s="9">
        <f>Engagement_Summary[[#This Row],[Net Growth Followers]]/Engagement_Summary[[#This Row],[Total_Followers]]</f>
        <v>3.3557613568250698E-4</v>
      </c>
      <c r="J30" t="str">
        <f>_xlfn.XLOOKUP(Engagement_Summary[[#This Row],[Week_Start_Date]],Task1!C:C,Task1!M:M,"NA",-1)</f>
        <v>FSDUpdate</v>
      </c>
    </row>
    <row r="31" spans="1:10" x14ac:dyDescent="0.3">
      <c r="A31" s="1">
        <v>45495</v>
      </c>
      <c r="B31" t="s">
        <v>31</v>
      </c>
      <c r="C31">
        <v>1391</v>
      </c>
      <c r="D31">
        <v>430</v>
      </c>
      <c r="E31">
        <v>295032</v>
      </c>
      <c r="F31">
        <v>7.86</v>
      </c>
      <c r="G31">
        <v>26067</v>
      </c>
      <c r="H31" s="7">
        <f>Engagement_Summary[[#This Row],[New_Followers]]-Engagement_Summary[[#This Row],[Unfollows]]</f>
        <v>961</v>
      </c>
      <c r="I31" s="9">
        <f>Engagement_Summary[[#This Row],[Net Growth Followers]]/Engagement_Summary[[#This Row],[Total_Followers]]</f>
        <v>3.2572737872501967E-3</v>
      </c>
      <c r="J31" t="str">
        <f>_xlfn.XLOOKUP(Engagement_Summary[[#This Row],[Week_Start_Date]],Task1!C:C,Task1!M:M,"NA",-1)</f>
        <v>FSDUpdate</v>
      </c>
    </row>
    <row r="32" spans="1:10" x14ac:dyDescent="0.3">
      <c r="A32" s="1">
        <v>45495</v>
      </c>
      <c r="B32" t="s">
        <v>32</v>
      </c>
      <c r="C32">
        <v>1701</v>
      </c>
      <c r="D32">
        <v>385</v>
      </c>
      <c r="E32">
        <v>198278</v>
      </c>
      <c r="F32">
        <v>5.34</v>
      </c>
      <c r="G32">
        <v>32763</v>
      </c>
      <c r="H32" s="7">
        <f>Engagement_Summary[[#This Row],[New_Followers]]-Engagement_Summary[[#This Row],[Unfollows]]</f>
        <v>1316</v>
      </c>
      <c r="I32" s="9">
        <f>Engagement_Summary[[#This Row],[Net Growth Followers]]/Engagement_Summary[[#This Row],[Total_Followers]]</f>
        <v>6.6371458255580548E-3</v>
      </c>
      <c r="J32" t="str">
        <f>_xlfn.XLOOKUP(Engagement_Summary[[#This Row],[Week_Start_Date]],Task1!C:C,Task1!M:M,"NA",-1)</f>
        <v>FSDUpdate</v>
      </c>
    </row>
    <row r="33" spans="1:10" x14ac:dyDescent="0.3">
      <c r="A33" s="1">
        <v>45495</v>
      </c>
      <c r="B33" t="s">
        <v>33</v>
      </c>
      <c r="C33">
        <v>804</v>
      </c>
      <c r="D33">
        <v>487</v>
      </c>
      <c r="E33">
        <v>306564</v>
      </c>
      <c r="F33">
        <v>5.52</v>
      </c>
      <c r="G33">
        <v>26452</v>
      </c>
      <c r="H33" s="7">
        <f>Engagement_Summary[[#This Row],[New_Followers]]-Engagement_Summary[[#This Row],[Unfollows]]</f>
        <v>317</v>
      </c>
      <c r="I33" s="9">
        <f>Engagement_Summary[[#This Row],[Net Growth Followers]]/Engagement_Summary[[#This Row],[Total_Followers]]</f>
        <v>1.0340418313957282E-3</v>
      </c>
      <c r="J33" t="str">
        <f>_xlfn.XLOOKUP(Engagement_Summary[[#This Row],[Week_Start_Date]],Task1!C:C,Task1!M:M,"NA",-1)</f>
        <v>FSDUpdate</v>
      </c>
    </row>
    <row r="34" spans="1:10" x14ac:dyDescent="0.3">
      <c r="A34" s="1">
        <v>45502</v>
      </c>
      <c r="B34" t="s">
        <v>30</v>
      </c>
      <c r="C34">
        <v>653</v>
      </c>
      <c r="D34">
        <v>112</v>
      </c>
      <c r="E34">
        <v>23664</v>
      </c>
      <c r="F34">
        <v>4.05</v>
      </c>
      <c r="G34">
        <v>15353</v>
      </c>
      <c r="H34" s="7">
        <f>Engagement_Summary[[#This Row],[New_Followers]]-Engagement_Summary[[#This Row],[Unfollows]]</f>
        <v>541</v>
      </c>
      <c r="I34" s="9">
        <f>Engagement_Summary[[#This Row],[Net Growth Followers]]/Engagement_Summary[[#This Row],[Total_Followers]]</f>
        <v>2.2861730899256253E-2</v>
      </c>
      <c r="J34" t="str">
        <f>_xlfn.XLOOKUP(Engagement_Summary[[#This Row],[Week_Start_Date]],Task1!C:C,Task1!M:M,"NA",-1)</f>
        <v>ModelYCampaign</v>
      </c>
    </row>
    <row r="35" spans="1:10" x14ac:dyDescent="0.3">
      <c r="A35" s="1">
        <v>45502</v>
      </c>
      <c r="B35" t="s">
        <v>31</v>
      </c>
      <c r="C35">
        <v>160</v>
      </c>
      <c r="D35">
        <v>478</v>
      </c>
      <c r="E35">
        <v>435034</v>
      </c>
      <c r="F35">
        <v>7.73</v>
      </c>
      <c r="G35">
        <v>4839</v>
      </c>
      <c r="H35" s="7">
        <f>Engagement_Summary[[#This Row],[New_Followers]]-Engagement_Summary[[#This Row],[Unfollows]]</f>
        <v>-318</v>
      </c>
      <c r="I35" s="9">
        <f>Engagement_Summary[[#This Row],[Net Growth Followers]]/Engagement_Summary[[#This Row],[Total_Followers]]</f>
        <v>-7.3097734889686784E-4</v>
      </c>
      <c r="J35" t="str">
        <f>_xlfn.XLOOKUP(Engagement_Summary[[#This Row],[Week_Start_Date]],Task1!C:C,Task1!M:M,"NA",-1)</f>
        <v>ModelYCampaign</v>
      </c>
    </row>
    <row r="36" spans="1:10" x14ac:dyDescent="0.3">
      <c r="A36" s="1">
        <v>45502</v>
      </c>
      <c r="B36" t="s">
        <v>32</v>
      </c>
      <c r="C36">
        <v>1756</v>
      </c>
      <c r="D36">
        <v>261</v>
      </c>
      <c r="E36">
        <v>287574</v>
      </c>
      <c r="F36">
        <v>4.3600000000000003</v>
      </c>
      <c r="G36">
        <v>39272</v>
      </c>
      <c r="H36" s="7">
        <f>Engagement_Summary[[#This Row],[New_Followers]]-Engagement_Summary[[#This Row],[Unfollows]]</f>
        <v>1495</v>
      </c>
      <c r="I36" s="9">
        <f>Engagement_Summary[[#This Row],[Net Growth Followers]]/Engagement_Summary[[#This Row],[Total_Followers]]</f>
        <v>5.1986619096302169E-3</v>
      </c>
      <c r="J36" t="str">
        <f>_xlfn.XLOOKUP(Engagement_Summary[[#This Row],[Week_Start_Date]],Task1!C:C,Task1!M:M,"NA",-1)</f>
        <v>ModelYCampaign</v>
      </c>
    </row>
    <row r="37" spans="1:10" x14ac:dyDescent="0.3">
      <c r="A37" s="1">
        <v>45502</v>
      </c>
      <c r="B37" t="s">
        <v>33</v>
      </c>
      <c r="C37">
        <v>576</v>
      </c>
      <c r="D37">
        <v>101</v>
      </c>
      <c r="E37">
        <v>62499</v>
      </c>
      <c r="F37">
        <v>3.48</v>
      </c>
      <c r="G37">
        <v>16804</v>
      </c>
      <c r="H37" s="7">
        <f>Engagement_Summary[[#This Row],[New_Followers]]-Engagement_Summary[[#This Row],[Unfollows]]</f>
        <v>475</v>
      </c>
      <c r="I37" s="9">
        <f>Engagement_Summary[[#This Row],[Net Growth Followers]]/Engagement_Summary[[#This Row],[Total_Followers]]</f>
        <v>7.600121601945631E-3</v>
      </c>
      <c r="J37" t="str">
        <f>_xlfn.XLOOKUP(Engagement_Summary[[#This Row],[Week_Start_Date]],Task1!C:C,Task1!M:M,"NA",-1)</f>
        <v>ModelYCampaign</v>
      </c>
    </row>
    <row r="38" spans="1:10" x14ac:dyDescent="0.3">
      <c r="A38" s="1">
        <v>45509</v>
      </c>
      <c r="B38" t="s">
        <v>30</v>
      </c>
      <c r="C38">
        <v>645</v>
      </c>
      <c r="D38">
        <v>293</v>
      </c>
      <c r="E38">
        <v>437968</v>
      </c>
      <c r="F38">
        <v>7.83</v>
      </c>
      <c r="G38">
        <v>49303</v>
      </c>
      <c r="H38" s="7">
        <f>Engagement_Summary[[#This Row],[New_Followers]]-Engagement_Summary[[#This Row],[Unfollows]]</f>
        <v>352</v>
      </c>
      <c r="I38" s="9">
        <f>Engagement_Summary[[#This Row],[Net Growth Followers]]/Engagement_Summary[[#This Row],[Total_Followers]]</f>
        <v>8.0371168669857163E-4</v>
      </c>
      <c r="J38" t="str">
        <f>_xlfn.XLOOKUP(Engagement_Summary[[#This Row],[Week_Start_Date]],Task1!C:C,Task1!M:M,"NA",-1)</f>
        <v>ModelYCampaign</v>
      </c>
    </row>
    <row r="39" spans="1:10" x14ac:dyDescent="0.3">
      <c r="A39" s="1">
        <v>45509</v>
      </c>
      <c r="B39" t="s">
        <v>31</v>
      </c>
      <c r="C39">
        <v>214</v>
      </c>
      <c r="D39">
        <v>411</v>
      </c>
      <c r="E39">
        <v>125034</v>
      </c>
      <c r="F39">
        <v>6.11</v>
      </c>
      <c r="G39">
        <v>26455</v>
      </c>
      <c r="H39" s="7">
        <f>Engagement_Summary[[#This Row],[New_Followers]]-Engagement_Summary[[#This Row],[Unfollows]]</f>
        <v>-197</v>
      </c>
      <c r="I39" s="9">
        <f>Engagement_Summary[[#This Row],[Net Growth Followers]]/Engagement_Summary[[#This Row],[Total_Followers]]</f>
        <v>-1.5755714445670778E-3</v>
      </c>
      <c r="J39" t="str">
        <f>_xlfn.XLOOKUP(Engagement_Summary[[#This Row],[Week_Start_Date]],Task1!C:C,Task1!M:M,"NA",-1)</f>
        <v>ModelYCampaign</v>
      </c>
    </row>
    <row r="40" spans="1:10" x14ac:dyDescent="0.3">
      <c r="A40" s="1">
        <v>45509</v>
      </c>
      <c r="B40" t="s">
        <v>32</v>
      </c>
      <c r="C40">
        <v>826</v>
      </c>
      <c r="D40">
        <v>498</v>
      </c>
      <c r="E40">
        <v>449994</v>
      </c>
      <c r="F40">
        <v>9.43</v>
      </c>
      <c r="G40">
        <v>12384</v>
      </c>
      <c r="H40" s="7">
        <f>Engagement_Summary[[#This Row],[New_Followers]]-Engagement_Summary[[#This Row],[Unfollows]]</f>
        <v>328</v>
      </c>
      <c r="I40" s="9">
        <f>Engagement_Summary[[#This Row],[Net Growth Followers]]/Engagement_Summary[[#This Row],[Total_Followers]]</f>
        <v>7.2889860753698943E-4</v>
      </c>
      <c r="J40" t="str">
        <f>_xlfn.XLOOKUP(Engagement_Summary[[#This Row],[Week_Start_Date]],Task1!C:C,Task1!M:M,"NA",-1)</f>
        <v>ModelYCampaign</v>
      </c>
    </row>
    <row r="41" spans="1:10" x14ac:dyDescent="0.3">
      <c r="A41" s="1">
        <v>45509</v>
      </c>
      <c r="B41" t="s">
        <v>33</v>
      </c>
      <c r="C41">
        <v>460</v>
      </c>
      <c r="D41">
        <v>141</v>
      </c>
      <c r="E41">
        <v>320650</v>
      </c>
      <c r="F41">
        <v>4.04</v>
      </c>
      <c r="G41">
        <v>49372</v>
      </c>
      <c r="H41" s="7">
        <f>Engagement_Summary[[#This Row],[New_Followers]]-Engagement_Summary[[#This Row],[Unfollows]]</f>
        <v>319</v>
      </c>
      <c r="I41" s="9">
        <f>Engagement_Summary[[#This Row],[Net Growth Followers]]/Engagement_Summary[[#This Row],[Total_Followers]]</f>
        <v>9.9485420240137223E-4</v>
      </c>
      <c r="J41" t="str">
        <f>_xlfn.XLOOKUP(Engagement_Summary[[#This Row],[Week_Start_Date]],Task1!C:C,Task1!M:M,"NA",-1)</f>
        <v>ModelYCampaign</v>
      </c>
    </row>
    <row r="42" spans="1:10" x14ac:dyDescent="0.3">
      <c r="A42" s="1">
        <v>45516</v>
      </c>
      <c r="B42" t="s">
        <v>30</v>
      </c>
      <c r="C42">
        <v>1528</v>
      </c>
      <c r="D42">
        <v>203</v>
      </c>
      <c r="E42">
        <v>489188</v>
      </c>
      <c r="F42">
        <v>6.23</v>
      </c>
      <c r="G42">
        <v>47101</v>
      </c>
      <c r="H42" s="7">
        <f>Engagement_Summary[[#This Row],[New_Followers]]-Engagement_Summary[[#This Row],[Unfollows]]</f>
        <v>1325</v>
      </c>
      <c r="I42" s="9">
        <f>Engagement_Summary[[#This Row],[Net Growth Followers]]/Engagement_Summary[[#This Row],[Total_Followers]]</f>
        <v>2.7085701202809553E-3</v>
      </c>
      <c r="J42" t="str">
        <f>_xlfn.XLOOKUP(Engagement_Summary[[#This Row],[Week_Start_Date]],Task1!C:C,Task1!M:M,"NA",-1)</f>
        <v>SustainabilityDrive</v>
      </c>
    </row>
    <row r="43" spans="1:10" x14ac:dyDescent="0.3">
      <c r="A43" s="1">
        <v>45516</v>
      </c>
      <c r="B43" t="s">
        <v>31</v>
      </c>
      <c r="C43">
        <v>1534</v>
      </c>
      <c r="D43">
        <v>200</v>
      </c>
      <c r="E43">
        <v>307612</v>
      </c>
      <c r="F43">
        <v>6.01</v>
      </c>
      <c r="G43">
        <v>37903</v>
      </c>
      <c r="H43" s="7">
        <f>Engagement_Summary[[#This Row],[New_Followers]]-Engagement_Summary[[#This Row],[Unfollows]]</f>
        <v>1334</v>
      </c>
      <c r="I43" s="9">
        <f>Engagement_Summary[[#This Row],[Net Growth Followers]]/Engagement_Summary[[#This Row],[Total_Followers]]</f>
        <v>4.3366318609156986E-3</v>
      </c>
      <c r="J43" t="str">
        <f>_xlfn.XLOOKUP(Engagement_Summary[[#This Row],[Week_Start_Date]],Task1!C:C,Task1!M:M,"NA",-1)</f>
        <v>SustainabilityDrive</v>
      </c>
    </row>
    <row r="44" spans="1:10" x14ac:dyDescent="0.3">
      <c r="A44" s="1">
        <v>45516</v>
      </c>
      <c r="B44" t="s">
        <v>32</v>
      </c>
      <c r="C44">
        <v>485</v>
      </c>
      <c r="D44">
        <v>448</v>
      </c>
      <c r="E44">
        <v>434883</v>
      </c>
      <c r="F44">
        <v>8.5500000000000007</v>
      </c>
      <c r="G44">
        <v>33258</v>
      </c>
      <c r="H44" s="7">
        <f>Engagement_Summary[[#This Row],[New_Followers]]-Engagement_Summary[[#This Row],[Unfollows]]</f>
        <v>37</v>
      </c>
      <c r="I44" s="9">
        <f>Engagement_Summary[[#This Row],[Net Growth Followers]]/Engagement_Summary[[#This Row],[Total_Followers]]</f>
        <v>8.5080354946042954E-5</v>
      </c>
      <c r="J44" t="str">
        <f>_xlfn.XLOOKUP(Engagement_Summary[[#This Row],[Week_Start_Date]],Task1!C:C,Task1!M:M,"NA",-1)</f>
        <v>SustainabilityDrive</v>
      </c>
    </row>
    <row r="45" spans="1:10" x14ac:dyDescent="0.3">
      <c r="A45" s="1">
        <v>45516</v>
      </c>
      <c r="B45" t="s">
        <v>33</v>
      </c>
      <c r="C45">
        <v>1210</v>
      </c>
      <c r="D45">
        <v>178</v>
      </c>
      <c r="E45">
        <v>102042</v>
      </c>
      <c r="F45">
        <v>5.42</v>
      </c>
      <c r="G45">
        <v>6915</v>
      </c>
      <c r="H45" s="7">
        <f>Engagement_Summary[[#This Row],[New_Followers]]-Engagement_Summary[[#This Row],[Unfollows]]</f>
        <v>1032</v>
      </c>
      <c r="I45" s="9">
        <f>Engagement_Summary[[#This Row],[Net Growth Followers]]/Engagement_Summary[[#This Row],[Total_Followers]]</f>
        <v>1.011348268360087E-2</v>
      </c>
      <c r="J45" t="str">
        <f>_xlfn.XLOOKUP(Engagement_Summary[[#This Row],[Week_Start_Date]],Task1!C:C,Task1!M:M,"NA",-1)</f>
        <v>SustainabilityDrive</v>
      </c>
    </row>
    <row r="46" spans="1:10" x14ac:dyDescent="0.3">
      <c r="A46" s="1">
        <v>45523</v>
      </c>
      <c r="B46" t="s">
        <v>30</v>
      </c>
      <c r="C46">
        <v>215</v>
      </c>
      <c r="D46">
        <v>139</v>
      </c>
      <c r="E46">
        <v>325444</v>
      </c>
      <c r="F46">
        <v>3.25</v>
      </c>
      <c r="G46">
        <v>35501</v>
      </c>
      <c r="H46" s="7">
        <f>Engagement_Summary[[#This Row],[New_Followers]]-Engagement_Summary[[#This Row],[Unfollows]]</f>
        <v>76</v>
      </c>
      <c r="I46" s="9">
        <f>Engagement_Summary[[#This Row],[Net Growth Followers]]/Engagement_Summary[[#This Row],[Total_Followers]]</f>
        <v>2.335271198731579E-4</v>
      </c>
      <c r="J46" t="str">
        <f>_xlfn.XLOOKUP(Engagement_Summary[[#This Row],[Week_Start_Date]],Task1!C:C,Task1!M:M,"NA",-1)</f>
        <v>CybertruckLaunch</v>
      </c>
    </row>
    <row r="47" spans="1:10" x14ac:dyDescent="0.3">
      <c r="A47" s="1">
        <v>45523</v>
      </c>
      <c r="B47" t="s">
        <v>31</v>
      </c>
      <c r="C47">
        <v>1078</v>
      </c>
      <c r="D47">
        <v>20</v>
      </c>
      <c r="E47">
        <v>183924</v>
      </c>
      <c r="F47">
        <v>8.84</v>
      </c>
      <c r="G47">
        <v>14203</v>
      </c>
      <c r="H47" s="7">
        <f>Engagement_Summary[[#This Row],[New_Followers]]-Engagement_Summary[[#This Row],[Unfollows]]</f>
        <v>1058</v>
      </c>
      <c r="I47" s="9">
        <f>Engagement_Summary[[#This Row],[Net Growth Followers]]/Engagement_Summary[[#This Row],[Total_Followers]]</f>
        <v>5.7523759813836147E-3</v>
      </c>
      <c r="J47" t="str">
        <f>_xlfn.XLOOKUP(Engagement_Summary[[#This Row],[Week_Start_Date]],Task1!C:C,Task1!M:M,"NA",-1)</f>
        <v>CybertruckLaunch</v>
      </c>
    </row>
    <row r="48" spans="1:10" x14ac:dyDescent="0.3">
      <c r="A48" s="1">
        <v>45523</v>
      </c>
      <c r="B48" t="s">
        <v>32</v>
      </c>
      <c r="C48">
        <v>1751</v>
      </c>
      <c r="D48">
        <v>86</v>
      </c>
      <c r="E48">
        <v>188655</v>
      </c>
      <c r="F48">
        <v>7.24</v>
      </c>
      <c r="G48">
        <v>22206</v>
      </c>
      <c r="H48" s="7">
        <f>Engagement_Summary[[#This Row],[New_Followers]]-Engagement_Summary[[#This Row],[Unfollows]]</f>
        <v>1665</v>
      </c>
      <c r="I48" s="9">
        <f>Engagement_Summary[[#This Row],[Net Growth Followers]]/Engagement_Summary[[#This Row],[Total_Followers]]</f>
        <v>8.825634093981077E-3</v>
      </c>
      <c r="J48" t="str">
        <f>_xlfn.XLOOKUP(Engagement_Summary[[#This Row],[Week_Start_Date]],Task1!C:C,Task1!M:M,"NA",-1)</f>
        <v>CybertruckLaunch</v>
      </c>
    </row>
    <row r="49" spans="1:10" x14ac:dyDescent="0.3">
      <c r="A49" s="1">
        <v>45523</v>
      </c>
      <c r="B49" t="s">
        <v>33</v>
      </c>
      <c r="C49">
        <v>221</v>
      </c>
      <c r="D49">
        <v>31</v>
      </c>
      <c r="E49">
        <v>87443</v>
      </c>
      <c r="F49">
        <v>6.19</v>
      </c>
      <c r="G49">
        <v>10283</v>
      </c>
      <c r="H49" s="7">
        <f>Engagement_Summary[[#This Row],[New_Followers]]-Engagement_Summary[[#This Row],[Unfollows]]</f>
        <v>190</v>
      </c>
      <c r="I49" s="9">
        <f>Engagement_Summary[[#This Row],[Net Growth Followers]]/Engagement_Summary[[#This Row],[Total_Followers]]</f>
        <v>2.1728440241071327E-3</v>
      </c>
      <c r="J49" t="str">
        <f>_xlfn.XLOOKUP(Engagement_Summary[[#This Row],[Week_Start_Date]],Task1!C:C,Task1!M:M,"NA",-1)</f>
        <v>CybertruckLaunch</v>
      </c>
    </row>
    <row r="50" spans="1:10" x14ac:dyDescent="0.3">
      <c r="A50" s="1">
        <v>45530</v>
      </c>
      <c r="B50" t="s">
        <v>30</v>
      </c>
      <c r="C50">
        <v>1685</v>
      </c>
      <c r="D50">
        <v>76</v>
      </c>
      <c r="E50">
        <v>453799</v>
      </c>
      <c r="F50">
        <v>5.71</v>
      </c>
      <c r="G50">
        <v>24913</v>
      </c>
      <c r="H50" s="7">
        <f>Engagement_Summary[[#This Row],[New_Followers]]-Engagement_Summary[[#This Row],[Unfollows]]</f>
        <v>1609</v>
      </c>
      <c r="I50" s="9">
        <f>Engagement_Summary[[#This Row],[Net Growth Followers]]/Engagement_Summary[[#This Row],[Total_Followers]]</f>
        <v>3.5456226214689766E-3</v>
      </c>
      <c r="J50" t="str">
        <f>_xlfn.XLOOKUP(Engagement_Summary[[#This Row],[Week_Start_Date]],Task1!C:C,Task1!M:M,"NA",-1)</f>
        <v>FSDUpdate</v>
      </c>
    </row>
    <row r="51" spans="1:10" x14ac:dyDescent="0.3">
      <c r="A51" s="1">
        <v>45530</v>
      </c>
      <c r="B51" t="s">
        <v>31</v>
      </c>
      <c r="C51">
        <v>248</v>
      </c>
      <c r="D51">
        <v>211</v>
      </c>
      <c r="E51">
        <v>379380</v>
      </c>
      <c r="F51">
        <v>9.0399999999999991</v>
      </c>
      <c r="G51">
        <v>26925</v>
      </c>
      <c r="H51" s="7">
        <f>Engagement_Summary[[#This Row],[New_Followers]]-Engagement_Summary[[#This Row],[Unfollows]]</f>
        <v>37</v>
      </c>
      <c r="I51" s="9">
        <f>Engagement_Summary[[#This Row],[Net Growth Followers]]/Engagement_Summary[[#This Row],[Total_Followers]]</f>
        <v>9.7527544941747058E-5</v>
      </c>
      <c r="J51" t="str">
        <f>_xlfn.XLOOKUP(Engagement_Summary[[#This Row],[Week_Start_Date]],Task1!C:C,Task1!M:M,"NA",-1)</f>
        <v>FSDUpdate</v>
      </c>
    </row>
    <row r="52" spans="1:10" x14ac:dyDescent="0.3">
      <c r="A52" s="1">
        <v>45530</v>
      </c>
      <c r="B52" t="s">
        <v>32</v>
      </c>
      <c r="C52">
        <v>1300</v>
      </c>
      <c r="D52">
        <v>71</v>
      </c>
      <c r="E52">
        <v>186454</v>
      </c>
      <c r="F52">
        <v>3.91</v>
      </c>
      <c r="G52">
        <v>9942</v>
      </c>
      <c r="H52" s="7">
        <f>Engagement_Summary[[#This Row],[New_Followers]]-Engagement_Summary[[#This Row],[Unfollows]]</f>
        <v>1229</v>
      </c>
      <c r="I52" s="9">
        <f>Engagement_Summary[[#This Row],[Net Growth Followers]]/Engagement_Summary[[#This Row],[Total_Followers]]</f>
        <v>6.5914381026955706E-3</v>
      </c>
      <c r="J52" t="str">
        <f>_xlfn.XLOOKUP(Engagement_Summary[[#This Row],[Week_Start_Date]],Task1!C:C,Task1!M:M,"NA",-1)</f>
        <v>FSDUpdate</v>
      </c>
    </row>
    <row r="53" spans="1:10" x14ac:dyDescent="0.3">
      <c r="A53" s="1">
        <v>45530</v>
      </c>
      <c r="B53" t="s">
        <v>33</v>
      </c>
      <c r="C53">
        <v>422</v>
      </c>
      <c r="D53">
        <v>394</v>
      </c>
      <c r="E53">
        <v>239044</v>
      </c>
      <c r="F53">
        <v>7.83</v>
      </c>
      <c r="G53">
        <v>32929</v>
      </c>
      <c r="H53" s="7">
        <f>Engagement_Summary[[#This Row],[New_Followers]]-Engagement_Summary[[#This Row],[Unfollows]]</f>
        <v>28</v>
      </c>
      <c r="I53" s="9">
        <f>Engagement_Summary[[#This Row],[Net Growth Followers]]/Engagement_Summary[[#This Row],[Total_Followers]]</f>
        <v>1.1713324743561855E-4</v>
      </c>
      <c r="J53" t="str">
        <f>_xlfn.XLOOKUP(Engagement_Summary[[#This Row],[Week_Start_Date]],Task1!C:C,Task1!M:M,"NA",-1)</f>
        <v>FSDUpdate</v>
      </c>
    </row>
    <row r="54" spans="1:10" x14ac:dyDescent="0.3">
      <c r="A54" s="1">
        <v>45537</v>
      </c>
      <c r="B54" t="s">
        <v>30</v>
      </c>
      <c r="C54">
        <v>1429</v>
      </c>
      <c r="D54">
        <v>182</v>
      </c>
      <c r="E54">
        <v>101332</v>
      </c>
      <c r="F54">
        <v>7.16</v>
      </c>
      <c r="G54">
        <v>37829</v>
      </c>
      <c r="H54" s="7">
        <f>Engagement_Summary[[#This Row],[New_Followers]]-Engagement_Summary[[#This Row],[Unfollows]]</f>
        <v>1247</v>
      </c>
      <c r="I54" s="9">
        <f>Engagement_Summary[[#This Row],[Net Growth Followers]]/Engagement_Summary[[#This Row],[Total_Followers]]</f>
        <v>1.2306082974775983E-2</v>
      </c>
      <c r="J54" t="str">
        <f>_xlfn.XLOOKUP(Engagement_Summary[[#This Row],[Week_Start_Date]],Task1!C:C,Task1!M:M,"NA",-1)</f>
        <v>ModelYCampaign</v>
      </c>
    </row>
    <row r="55" spans="1:10" x14ac:dyDescent="0.3">
      <c r="A55" s="1">
        <v>45537</v>
      </c>
      <c r="B55" t="s">
        <v>31</v>
      </c>
      <c r="C55">
        <v>1520</v>
      </c>
      <c r="D55">
        <v>475</v>
      </c>
      <c r="E55">
        <v>496982</v>
      </c>
      <c r="F55">
        <v>6.41</v>
      </c>
      <c r="G55">
        <v>24384</v>
      </c>
      <c r="H55" s="7">
        <f>Engagement_Summary[[#This Row],[New_Followers]]-Engagement_Summary[[#This Row],[Unfollows]]</f>
        <v>1045</v>
      </c>
      <c r="I55" s="9">
        <f>Engagement_Summary[[#This Row],[Net Growth Followers]]/Engagement_Summary[[#This Row],[Total_Followers]]</f>
        <v>2.1026918479944948E-3</v>
      </c>
      <c r="J55" t="str">
        <f>_xlfn.XLOOKUP(Engagement_Summary[[#This Row],[Week_Start_Date]],Task1!C:C,Task1!M:M,"NA",-1)</f>
        <v>ModelYCampaign</v>
      </c>
    </row>
    <row r="56" spans="1:10" x14ac:dyDescent="0.3">
      <c r="A56" s="1">
        <v>45537</v>
      </c>
      <c r="B56" t="s">
        <v>32</v>
      </c>
      <c r="C56">
        <v>557</v>
      </c>
      <c r="D56">
        <v>360</v>
      </c>
      <c r="E56">
        <v>318779</v>
      </c>
      <c r="F56">
        <v>8.02</v>
      </c>
      <c r="G56">
        <v>25797</v>
      </c>
      <c r="H56" s="7">
        <f>Engagement_Summary[[#This Row],[New_Followers]]-Engagement_Summary[[#This Row],[Unfollows]]</f>
        <v>197</v>
      </c>
      <c r="I56" s="9">
        <f>Engagement_Summary[[#This Row],[Net Growth Followers]]/Engagement_Summary[[#This Row],[Total_Followers]]</f>
        <v>6.1798299135137512E-4</v>
      </c>
      <c r="J56" t="str">
        <f>_xlfn.XLOOKUP(Engagement_Summary[[#This Row],[Week_Start_Date]],Task1!C:C,Task1!M:M,"NA",-1)</f>
        <v>ModelYCampaign</v>
      </c>
    </row>
    <row r="57" spans="1:10" x14ac:dyDescent="0.3">
      <c r="A57" s="1">
        <v>45537</v>
      </c>
      <c r="B57" t="s">
        <v>33</v>
      </c>
      <c r="C57">
        <v>728</v>
      </c>
      <c r="D57">
        <v>395</v>
      </c>
      <c r="E57">
        <v>370971</v>
      </c>
      <c r="F57">
        <v>3.86</v>
      </c>
      <c r="G57">
        <v>12646</v>
      </c>
      <c r="H57" s="7">
        <f>Engagement_Summary[[#This Row],[New_Followers]]-Engagement_Summary[[#This Row],[Unfollows]]</f>
        <v>333</v>
      </c>
      <c r="I57" s="9">
        <f>Engagement_Summary[[#This Row],[Net Growth Followers]]/Engagement_Summary[[#This Row],[Total_Followers]]</f>
        <v>8.9764429025449434E-4</v>
      </c>
      <c r="J57" t="str">
        <f>_xlfn.XLOOKUP(Engagement_Summary[[#This Row],[Week_Start_Date]],Task1!C:C,Task1!M:M,"NA",-1)</f>
        <v>ModelYCampaign</v>
      </c>
    </row>
    <row r="58" spans="1:10" x14ac:dyDescent="0.3">
      <c r="A58" s="1">
        <v>45544</v>
      </c>
      <c r="B58" t="s">
        <v>30</v>
      </c>
      <c r="C58">
        <v>1592</v>
      </c>
      <c r="D58">
        <v>20</v>
      </c>
      <c r="E58">
        <v>378054</v>
      </c>
      <c r="F58">
        <v>9.09</v>
      </c>
      <c r="G58">
        <v>26663</v>
      </c>
      <c r="H58" s="7">
        <f>Engagement_Summary[[#This Row],[New_Followers]]-Engagement_Summary[[#This Row],[Unfollows]]</f>
        <v>1572</v>
      </c>
      <c r="I58" s="9">
        <f>Engagement_Summary[[#This Row],[Net Growth Followers]]/Engagement_Summary[[#This Row],[Total_Followers]]</f>
        <v>4.1581361392816901E-3</v>
      </c>
      <c r="J58" t="str">
        <f>_xlfn.XLOOKUP(Engagement_Summary[[#This Row],[Week_Start_Date]],Task1!C:C,Task1!M:M,"NA",-1)</f>
        <v>CybertruckLaunch</v>
      </c>
    </row>
    <row r="59" spans="1:10" x14ac:dyDescent="0.3">
      <c r="A59" s="1">
        <v>45544</v>
      </c>
      <c r="B59" t="s">
        <v>31</v>
      </c>
      <c r="C59">
        <v>1842</v>
      </c>
      <c r="D59">
        <v>414</v>
      </c>
      <c r="E59">
        <v>307524</v>
      </c>
      <c r="F59">
        <v>1.76</v>
      </c>
      <c r="G59">
        <v>40478</v>
      </c>
      <c r="H59" s="7">
        <f>Engagement_Summary[[#This Row],[New_Followers]]-Engagement_Summary[[#This Row],[Unfollows]]</f>
        <v>1428</v>
      </c>
      <c r="I59" s="9">
        <f>Engagement_Summary[[#This Row],[Net Growth Followers]]/Engagement_Summary[[#This Row],[Total_Followers]]</f>
        <v>4.6435400163889647E-3</v>
      </c>
      <c r="J59" t="str">
        <f>_xlfn.XLOOKUP(Engagement_Summary[[#This Row],[Week_Start_Date]],Task1!C:C,Task1!M:M,"NA",-1)</f>
        <v>CybertruckLaunch</v>
      </c>
    </row>
    <row r="60" spans="1:10" x14ac:dyDescent="0.3">
      <c r="A60" s="1">
        <v>45544</v>
      </c>
      <c r="B60" t="s">
        <v>32</v>
      </c>
      <c r="C60">
        <v>751</v>
      </c>
      <c r="D60">
        <v>491</v>
      </c>
      <c r="E60">
        <v>434047</v>
      </c>
      <c r="F60">
        <v>9.24</v>
      </c>
      <c r="G60">
        <v>15476</v>
      </c>
      <c r="H60" s="7">
        <f>Engagement_Summary[[#This Row],[New_Followers]]-Engagement_Summary[[#This Row],[Unfollows]]</f>
        <v>260</v>
      </c>
      <c r="I60" s="9">
        <f>Engagement_Summary[[#This Row],[Net Growth Followers]]/Engagement_Summary[[#This Row],[Total_Followers]]</f>
        <v>5.990134708914012E-4</v>
      </c>
      <c r="J60" t="str">
        <f>_xlfn.XLOOKUP(Engagement_Summary[[#This Row],[Week_Start_Date]],Task1!C:C,Task1!M:M,"NA",-1)</f>
        <v>CybertruckLaunch</v>
      </c>
    </row>
    <row r="61" spans="1:10" x14ac:dyDescent="0.3">
      <c r="A61" s="1">
        <v>45544</v>
      </c>
      <c r="B61" t="s">
        <v>33</v>
      </c>
      <c r="C61">
        <v>1409</v>
      </c>
      <c r="D61">
        <v>309</v>
      </c>
      <c r="E61">
        <v>64583</v>
      </c>
      <c r="F61">
        <v>8.99</v>
      </c>
      <c r="G61">
        <v>10217</v>
      </c>
      <c r="H61" s="7">
        <f>Engagement_Summary[[#This Row],[New_Followers]]-Engagement_Summary[[#This Row],[Unfollows]]</f>
        <v>1100</v>
      </c>
      <c r="I61" s="9">
        <f>Engagement_Summary[[#This Row],[Net Growth Followers]]/Engagement_Summary[[#This Row],[Total_Followers]]</f>
        <v>1.7032345973398571E-2</v>
      </c>
      <c r="J61" t="str">
        <f>_xlfn.XLOOKUP(Engagement_Summary[[#This Row],[Week_Start_Date]],Task1!C:C,Task1!M:M,"NA",-1)</f>
        <v>CybertruckLaunch</v>
      </c>
    </row>
    <row r="62" spans="1:10" x14ac:dyDescent="0.3">
      <c r="A62" s="1">
        <v>45551</v>
      </c>
      <c r="B62" t="s">
        <v>30</v>
      </c>
      <c r="C62">
        <v>778</v>
      </c>
      <c r="D62">
        <v>401</v>
      </c>
      <c r="E62">
        <v>50793</v>
      </c>
      <c r="F62">
        <v>3.4</v>
      </c>
      <c r="G62">
        <v>21939</v>
      </c>
      <c r="H62" s="7">
        <f>Engagement_Summary[[#This Row],[New_Followers]]-Engagement_Summary[[#This Row],[Unfollows]]</f>
        <v>377</v>
      </c>
      <c r="I62" s="9">
        <f>Engagement_Summary[[#This Row],[Net Growth Followers]]/Engagement_Summary[[#This Row],[Total_Followers]]</f>
        <v>7.4222825979957871E-3</v>
      </c>
      <c r="J62" t="str">
        <f>_xlfn.XLOOKUP(Engagement_Summary[[#This Row],[Week_Start_Date]],Task1!C:C,Task1!M:M,"NA",-1)</f>
        <v>FSDUpdate</v>
      </c>
    </row>
    <row r="63" spans="1:10" x14ac:dyDescent="0.3">
      <c r="A63" s="1">
        <v>45551</v>
      </c>
      <c r="B63" t="s">
        <v>31</v>
      </c>
      <c r="C63">
        <v>443</v>
      </c>
      <c r="D63">
        <v>345</v>
      </c>
      <c r="E63">
        <v>474162</v>
      </c>
      <c r="F63">
        <v>9.1999999999999993</v>
      </c>
      <c r="G63">
        <v>47462</v>
      </c>
      <c r="H63" s="7">
        <f>Engagement_Summary[[#This Row],[New_Followers]]-Engagement_Summary[[#This Row],[Unfollows]]</f>
        <v>98</v>
      </c>
      <c r="I63" s="9">
        <f>Engagement_Summary[[#This Row],[Net Growth Followers]]/Engagement_Summary[[#This Row],[Total_Followers]]</f>
        <v>2.0668041724136477E-4</v>
      </c>
      <c r="J63" t="str">
        <f>_xlfn.XLOOKUP(Engagement_Summary[[#This Row],[Week_Start_Date]],Task1!C:C,Task1!M:M,"NA",-1)</f>
        <v>FSDUpdate</v>
      </c>
    </row>
    <row r="64" spans="1:10" x14ac:dyDescent="0.3">
      <c r="A64" s="1">
        <v>45551</v>
      </c>
      <c r="B64" t="s">
        <v>32</v>
      </c>
      <c r="C64">
        <v>1472</v>
      </c>
      <c r="D64">
        <v>347</v>
      </c>
      <c r="E64">
        <v>392355</v>
      </c>
      <c r="F64">
        <v>8.59</v>
      </c>
      <c r="G64">
        <v>30270</v>
      </c>
      <c r="H64" s="7">
        <f>Engagement_Summary[[#This Row],[New_Followers]]-Engagement_Summary[[#This Row],[Unfollows]]</f>
        <v>1125</v>
      </c>
      <c r="I64" s="9">
        <f>Engagement_Summary[[#This Row],[Net Growth Followers]]/Engagement_Summary[[#This Row],[Total_Followers]]</f>
        <v>2.8673012960201858E-3</v>
      </c>
      <c r="J64" t="str">
        <f>_xlfn.XLOOKUP(Engagement_Summary[[#This Row],[Week_Start_Date]],Task1!C:C,Task1!M:M,"NA",-1)</f>
        <v>FSDUpdate</v>
      </c>
    </row>
    <row r="65" spans="1:10" x14ac:dyDescent="0.3">
      <c r="A65" s="1">
        <v>45551</v>
      </c>
      <c r="B65" t="s">
        <v>33</v>
      </c>
      <c r="C65">
        <v>123</v>
      </c>
      <c r="D65">
        <v>155</v>
      </c>
      <c r="E65">
        <v>119934</v>
      </c>
      <c r="F65">
        <v>3.5</v>
      </c>
      <c r="G65">
        <v>5442</v>
      </c>
      <c r="H65" s="7">
        <f>Engagement_Summary[[#This Row],[New_Followers]]-Engagement_Summary[[#This Row],[Unfollows]]</f>
        <v>-32</v>
      </c>
      <c r="I65" s="9">
        <f>Engagement_Summary[[#This Row],[Net Growth Followers]]/Engagement_Summary[[#This Row],[Total_Followers]]</f>
        <v>-2.6681341404439108E-4</v>
      </c>
      <c r="J65" t="str">
        <f>_xlfn.XLOOKUP(Engagement_Summary[[#This Row],[Week_Start_Date]],Task1!C:C,Task1!M:M,"NA",-1)</f>
        <v>FSDUpdate</v>
      </c>
    </row>
    <row r="66" spans="1:10" x14ac:dyDescent="0.3">
      <c r="A66" s="1">
        <v>45558</v>
      </c>
      <c r="B66" t="s">
        <v>30</v>
      </c>
      <c r="C66">
        <v>817</v>
      </c>
      <c r="D66">
        <v>151</v>
      </c>
      <c r="E66">
        <v>422625</v>
      </c>
      <c r="F66">
        <v>2.36</v>
      </c>
      <c r="G66">
        <v>1083</v>
      </c>
      <c r="H66" s="7">
        <f>Engagement_Summary[[#This Row],[New_Followers]]-Engagement_Summary[[#This Row],[Unfollows]]</f>
        <v>666</v>
      </c>
      <c r="I66" s="9">
        <f>Engagement_Summary[[#This Row],[Net Growth Followers]]/Engagement_Summary[[#This Row],[Total_Followers]]</f>
        <v>1.5758651286601596E-3</v>
      </c>
      <c r="J66" t="str">
        <f>_xlfn.XLOOKUP(Engagement_Summary[[#This Row],[Week_Start_Date]],Task1!C:C,Task1!M:M,"NA",-1)</f>
        <v>ModelYCampaign</v>
      </c>
    </row>
    <row r="67" spans="1:10" x14ac:dyDescent="0.3">
      <c r="A67" s="1">
        <v>45558</v>
      </c>
      <c r="B67" t="s">
        <v>31</v>
      </c>
      <c r="C67">
        <v>198</v>
      </c>
      <c r="D67">
        <v>217</v>
      </c>
      <c r="E67">
        <v>239753</v>
      </c>
      <c r="F67">
        <v>7.36</v>
      </c>
      <c r="G67">
        <v>11901</v>
      </c>
      <c r="H67" s="7">
        <f>Engagement_Summary[[#This Row],[New_Followers]]-Engagement_Summary[[#This Row],[Unfollows]]</f>
        <v>-19</v>
      </c>
      <c r="I67" s="9">
        <f>Engagement_Summary[[#This Row],[Net Growth Followers]]/Engagement_Summary[[#This Row],[Total_Followers]]</f>
        <v>-7.9248226299566635E-5</v>
      </c>
      <c r="J67" t="str">
        <f>_xlfn.XLOOKUP(Engagement_Summary[[#This Row],[Week_Start_Date]],Task1!C:C,Task1!M:M,"NA",-1)</f>
        <v>ModelYCampaign</v>
      </c>
    </row>
    <row r="68" spans="1:10" x14ac:dyDescent="0.3">
      <c r="A68" s="1">
        <v>45558</v>
      </c>
      <c r="B68" t="s">
        <v>32</v>
      </c>
      <c r="C68">
        <v>1911</v>
      </c>
      <c r="D68">
        <v>231</v>
      </c>
      <c r="E68">
        <v>268516</v>
      </c>
      <c r="F68">
        <v>8.5500000000000007</v>
      </c>
      <c r="G68">
        <v>24018</v>
      </c>
      <c r="H68" s="7">
        <f>Engagement_Summary[[#This Row],[New_Followers]]-Engagement_Summary[[#This Row],[Unfollows]]</f>
        <v>1680</v>
      </c>
      <c r="I68" s="9">
        <f>Engagement_Summary[[#This Row],[Net Growth Followers]]/Engagement_Summary[[#This Row],[Total_Followers]]</f>
        <v>6.2566104068286429E-3</v>
      </c>
      <c r="J68" t="str">
        <f>_xlfn.XLOOKUP(Engagement_Summary[[#This Row],[Week_Start_Date]],Task1!C:C,Task1!M:M,"NA",-1)</f>
        <v>ModelYCampaign</v>
      </c>
    </row>
    <row r="69" spans="1:10" x14ac:dyDescent="0.3">
      <c r="A69" s="1">
        <v>45558</v>
      </c>
      <c r="B69" t="s">
        <v>33</v>
      </c>
      <c r="C69">
        <v>1218</v>
      </c>
      <c r="D69">
        <v>212</v>
      </c>
      <c r="E69">
        <v>63177</v>
      </c>
      <c r="F69">
        <v>8.1300000000000008</v>
      </c>
      <c r="G69">
        <v>38883</v>
      </c>
      <c r="H69" s="7">
        <f>Engagement_Summary[[#This Row],[New_Followers]]-Engagement_Summary[[#This Row],[Unfollows]]</f>
        <v>1006</v>
      </c>
      <c r="I69" s="9">
        <f>Engagement_Summary[[#This Row],[Net Growth Followers]]/Engagement_Summary[[#This Row],[Total_Followers]]</f>
        <v>1.592351646960128E-2</v>
      </c>
      <c r="J69" t="str">
        <f>_xlfn.XLOOKUP(Engagement_Summary[[#This Row],[Week_Start_Date]],Task1!C:C,Task1!M:M,"NA",-1)</f>
        <v>ModelYCampaign</v>
      </c>
    </row>
    <row r="70" spans="1:10" x14ac:dyDescent="0.3">
      <c r="A70" s="1">
        <v>45565</v>
      </c>
      <c r="B70" t="s">
        <v>30</v>
      </c>
      <c r="C70">
        <v>1433</v>
      </c>
      <c r="D70">
        <v>408</v>
      </c>
      <c r="E70">
        <v>370269</v>
      </c>
      <c r="F70">
        <v>3.3</v>
      </c>
      <c r="G70">
        <v>30575</v>
      </c>
      <c r="H70" s="7">
        <f>Engagement_Summary[[#This Row],[New_Followers]]-Engagement_Summary[[#This Row],[Unfollows]]</f>
        <v>1025</v>
      </c>
      <c r="I70" s="9">
        <f>Engagement_Summary[[#This Row],[Net Growth Followers]]/Engagement_Summary[[#This Row],[Total_Followers]]</f>
        <v>2.7682576721248606E-3</v>
      </c>
      <c r="J70" t="str">
        <f>_xlfn.XLOOKUP(Engagement_Summary[[#This Row],[Week_Start_Date]],Task1!C:C,Task1!M:M,"NA",-1)</f>
        <v>SustainabilityDrive</v>
      </c>
    </row>
    <row r="71" spans="1:10" x14ac:dyDescent="0.3">
      <c r="A71" s="1">
        <v>45565</v>
      </c>
      <c r="B71" t="s">
        <v>31</v>
      </c>
      <c r="C71">
        <v>250</v>
      </c>
      <c r="D71">
        <v>429</v>
      </c>
      <c r="E71">
        <v>453423</v>
      </c>
      <c r="F71">
        <v>1.77</v>
      </c>
      <c r="G71">
        <v>2315</v>
      </c>
      <c r="H71" s="7">
        <f>Engagement_Summary[[#This Row],[New_Followers]]-Engagement_Summary[[#This Row],[Unfollows]]</f>
        <v>-179</v>
      </c>
      <c r="I71" s="9">
        <f>Engagement_Summary[[#This Row],[Net Growth Followers]]/Engagement_Summary[[#This Row],[Total_Followers]]</f>
        <v>-3.9477485703195471E-4</v>
      </c>
      <c r="J71" t="str">
        <f>_xlfn.XLOOKUP(Engagement_Summary[[#This Row],[Week_Start_Date]],Task1!C:C,Task1!M:M,"NA",-1)</f>
        <v>SustainabilityDrive</v>
      </c>
    </row>
    <row r="72" spans="1:10" x14ac:dyDescent="0.3">
      <c r="A72" s="1">
        <v>45565</v>
      </c>
      <c r="B72" t="s">
        <v>32</v>
      </c>
      <c r="C72">
        <v>752</v>
      </c>
      <c r="D72">
        <v>153</v>
      </c>
      <c r="E72">
        <v>64906</v>
      </c>
      <c r="F72">
        <v>2.09</v>
      </c>
      <c r="G72">
        <v>12148</v>
      </c>
      <c r="H72" s="7">
        <f>Engagement_Summary[[#This Row],[New_Followers]]-Engagement_Summary[[#This Row],[Unfollows]]</f>
        <v>599</v>
      </c>
      <c r="I72" s="9">
        <f>Engagement_Summary[[#This Row],[Net Growth Followers]]/Engagement_Summary[[#This Row],[Total_Followers]]</f>
        <v>9.2287307798970819E-3</v>
      </c>
      <c r="J72" t="str">
        <f>_xlfn.XLOOKUP(Engagement_Summary[[#This Row],[Week_Start_Date]],Task1!C:C,Task1!M:M,"NA",-1)</f>
        <v>SustainabilityDrive</v>
      </c>
    </row>
    <row r="73" spans="1:10" x14ac:dyDescent="0.3">
      <c r="A73" s="1">
        <v>45565</v>
      </c>
      <c r="B73" t="s">
        <v>33</v>
      </c>
      <c r="C73">
        <v>1918</v>
      </c>
      <c r="D73">
        <v>212</v>
      </c>
      <c r="E73">
        <v>94360</v>
      </c>
      <c r="F73">
        <v>7.36</v>
      </c>
      <c r="G73">
        <v>36851</v>
      </c>
      <c r="H73" s="7">
        <f>Engagement_Summary[[#This Row],[New_Followers]]-Engagement_Summary[[#This Row],[Unfollows]]</f>
        <v>1706</v>
      </c>
      <c r="I73" s="9">
        <f>Engagement_Summary[[#This Row],[Net Growth Followers]]/Engagement_Summary[[#This Row],[Total_Followers]]</f>
        <v>1.8079694785926241E-2</v>
      </c>
      <c r="J73" t="str">
        <f>_xlfn.XLOOKUP(Engagement_Summary[[#This Row],[Week_Start_Date]],Task1!C:C,Task1!M:M,"NA",-1)</f>
        <v>SustainabilityDrive</v>
      </c>
    </row>
    <row r="74" spans="1:10" x14ac:dyDescent="0.3">
      <c r="A74" s="1">
        <v>45572</v>
      </c>
      <c r="B74" t="s">
        <v>30</v>
      </c>
      <c r="C74">
        <v>1939</v>
      </c>
      <c r="D74">
        <v>67</v>
      </c>
      <c r="E74">
        <v>187183</v>
      </c>
      <c r="F74">
        <v>6.25</v>
      </c>
      <c r="G74">
        <v>41215</v>
      </c>
      <c r="H74" s="7">
        <f>Engagement_Summary[[#This Row],[New_Followers]]-Engagement_Summary[[#This Row],[Unfollows]]</f>
        <v>1872</v>
      </c>
      <c r="I74" s="9">
        <f>Engagement_Summary[[#This Row],[Net Growth Followers]]/Engagement_Summary[[#This Row],[Total_Followers]]</f>
        <v>1.0000908202133741E-2</v>
      </c>
      <c r="J74" t="str">
        <f>_xlfn.XLOOKUP(Engagement_Summary[[#This Row],[Week_Start_Date]],Task1!C:C,Task1!M:M,"NA",-1)</f>
        <v>FSDUpdate</v>
      </c>
    </row>
    <row r="75" spans="1:10" x14ac:dyDescent="0.3">
      <c r="A75" s="1">
        <v>45572</v>
      </c>
      <c r="B75" t="s">
        <v>31</v>
      </c>
      <c r="C75">
        <v>1929</v>
      </c>
      <c r="D75">
        <v>267</v>
      </c>
      <c r="E75">
        <v>379363</v>
      </c>
      <c r="F75">
        <v>1.75</v>
      </c>
      <c r="G75">
        <v>43836</v>
      </c>
      <c r="H75" s="7">
        <f>Engagement_Summary[[#This Row],[New_Followers]]-Engagement_Summary[[#This Row],[Unfollows]]</f>
        <v>1662</v>
      </c>
      <c r="I75" s="9">
        <f>Engagement_Summary[[#This Row],[Net Growth Followers]]/Engagement_Summary[[#This Row],[Total_Followers]]</f>
        <v>4.3810281972675247E-3</v>
      </c>
      <c r="J75" t="str">
        <f>_xlfn.XLOOKUP(Engagement_Summary[[#This Row],[Week_Start_Date]],Task1!C:C,Task1!M:M,"NA",-1)</f>
        <v>FSDUpdate</v>
      </c>
    </row>
    <row r="76" spans="1:10" x14ac:dyDescent="0.3">
      <c r="A76" s="1">
        <v>45572</v>
      </c>
      <c r="B76" t="s">
        <v>32</v>
      </c>
      <c r="C76">
        <v>437</v>
      </c>
      <c r="D76">
        <v>330</v>
      </c>
      <c r="E76">
        <v>476486</v>
      </c>
      <c r="F76">
        <v>4.97</v>
      </c>
      <c r="G76">
        <v>4509</v>
      </c>
      <c r="H76" s="7">
        <f>Engagement_Summary[[#This Row],[New_Followers]]-Engagement_Summary[[#This Row],[Unfollows]]</f>
        <v>107</v>
      </c>
      <c r="I76" s="9">
        <f>Engagement_Summary[[#This Row],[Net Growth Followers]]/Engagement_Summary[[#This Row],[Total_Followers]]</f>
        <v>2.2456063766826309E-4</v>
      </c>
      <c r="J76" t="str">
        <f>_xlfn.XLOOKUP(Engagement_Summary[[#This Row],[Week_Start_Date]],Task1!C:C,Task1!M:M,"NA",-1)</f>
        <v>FSDUpdate</v>
      </c>
    </row>
    <row r="77" spans="1:10" x14ac:dyDescent="0.3">
      <c r="A77" s="1">
        <v>45572</v>
      </c>
      <c r="B77" t="s">
        <v>33</v>
      </c>
      <c r="C77">
        <v>307</v>
      </c>
      <c r="D77">
        <v>189</v>
      </c>
      <c r="E77">
        <v>117767</v>
      </c>
      <c r="F77">
        <v>9.3000000000000007</v>
      </c>
      <c r="G77">
        <v>27822</v>
      </c>
      <c r="H77" s="7">
        <f>Engagement_Summary[[#This Row],[New_Followers]]-Engagement_Summary[[#This Row],[Unfollows]]</f>
        <v>118</v>
      </c>
      <c r="I77" s="9">
        <f>Engagement_Summary[[#This Row],[Net Growth Followers]]/Engagement_Summary[[#This Row],[Total_Followers]]</f>
        <v>1.0019784829366461E-3</v>
      </c>
      <c r="J77" t="str">
        <f>_xlfn.XLOOKUP(Engagement_Summary[[#This Row],[Week_Start_Date]],Task1!C:C,Task1!M:M,"NA",-1)</f>
        <v>FSDUpdate</v>
      </c>
    </row>
    <row r="78" spans="1:10" x14ac:dyDescent="0.3">
      <c r="A78" s="1">
        <v>45579</v>
      </c>
      <c r="B78" t="s">
        <v>30</v>
      </c>
      <c r="C78">
        <v>1527</v>
      </c>
      <c r="D78">
        <v>303</v>
      </c>
      <c r="E78">
        <v>388555</v>
      </c>
      <c r="F78">
        <v>8.9</v>
      </c>
      <c r="G78">
        <v>36397</v>
      </c>
      <c r="H78" s="7">
        <f>Engagement_Summary[[#This Row],[New_Followers]]-Engagement_Summary[[#This Row],[Unfollows]]</f>
        <v>1224</v>
      </c>
      <c r="I78" s="9">
        <f>Engagement_Summary[[#This Row],[Net Growth Followers]]/Engagement_Summary[[#This Row],[Total_Followers]]</f>
        <v>3.1501331857780751E-3</v>
      </c>
      <c r="J78" t="str">
        <f>_xlfn.XLOOKUP(Engagement_Summary[[#This Row],[Week_Start_Date]],Task1!C:C,Task1!M:M,"NA",-1)</f>
        <v>SustainabilityDrive</v>
      </c>
    </row>
    <row r="79" spans="1:10" x14ac:dyDescent="0.3">
      <c r="A79" s="1">
        <v>45579</v>
      </c>
      <c r="B79" t="s">
        <v>31</v>
      </c>
      <c r="C79">
        <v>643</v>
      </c>
      <c r="D79">
        <v>358</v>
      </c>
      <c r="E79">
        <v>157599</v>
      </c>
      <c r="F79">
        <v>3.88</v>
      </c>
      <c r="G79">
        <v>7285</v>
      </c>
      <c r="H79" s="7">
        <f>Engagement_Summary[[#This Row],[New_Followers]]-Engagement_Summary[[#This Row],[Unfollows]]</f>
        <v>285</v>
      </c>
      <c r="I79" s="9">
        <f>Engagement_Summary[[#This Row],[Net Growth Followers]]/Engagement_Summary[[#This Row],[Total_Followers]]</f>
        <v>1.8083871090552605E-3</v>
      </c>
      <c r="J79" t="str">
        <f>_xlfn.XLOOKUP(Engagement_Summary[[#This Row],[Week_Start_Date]],Task1!C:C,Task1!M:M,"NA",-1)</f>
        <v>SustainabilityDrive</v>
      </c>
    </row>
    <row r="80" spans="1:10" x14ac:dyDescent="0.3">
      <c r="A80" s="1">
        <v>45579</v>
      </c>
      <c r="B80" t="s">
        <v>32</v>
      </c>
      <c r="C80">
        <v>201</v>
      </c>
      <c r="D80">
        <v>221</v>
      </c>
      <c r="E80">
        <v>309772</v>
      </c>
      <c r="F80">
        <v>5.9</v>
      </c>
      <c r="G80">
        <v>33174</v>
      </c>
      <c r="H80" s="7">
        <f>Engagement_Summary[[#This Row],[New_Followers]]-Engagement_Summary[[#This Row],[Unfollows]]</f>
        <v>-20</v>
      </c>
      <c r="I80" s="9">
        <f>Engagement_Summary[[#This Row],[Net Growth Followers]]/Engagement_Summary[[#This Row],[Total_Followers]]</f>
        <v>-6.456361452939582E-5</v>
      </c>
      <c r="J80" t="str">
        <f>_xlfn.XLOOKUP(Engagement_Summary[[#This Row],[Week_Start_Date]],Task1!C:C,Task1!M:M,"NA",-1)</f>
        <v>SustainabilityDrive</v>
      </c>
    </row>
    <row r="81" spans="1:10" x14ac:dyDescent="0.3">
      <c r="A81" s="1">
        <v>45579</v>
      </c>
      <c r="B81" t="s">
        <v>33</v>
      </c>
      <c r="C81">
        <v>414</v>
      </c>
      <c r="D81">
        <v>47</v>
      </c>
      <c r="E81">
        <v>199178</v>
      </c>
      <c r="F81">
        <v>1.53</v>
      </c>
      <c r="G81">
        <v>6742</v>
      </c>
      <c r="H81" s="7">
        <f>Engagement_Summary[[#This Row],[New_Followers]]-Engagement_Summary[[#This Row],[Unfollows]]</f>
        <v>367</v>
      </c>
      <c r="I81" s="9">
        <f>Engagement_Summary[[#This Row],[Net Growth Followers]]/Engagement_Summary[[#This Row],[Total_Followers]]</f>
        <v>1.8425729749269497E-3</v>
      </c>
      <c r="J81" t="str">
        <f>_xlfn.XLOOKUP(Engagement_Summary[[#This Row],[Week_Start_Date]],Task1!C:C,Task1!M:M,"NA",-1)</f>
        <v>SustainabilityDrive</v>
      </c>
    </row>
    <row r="82" spans="1:10" x14ac:dyDescent="0.3">
      <c r="A82" s="1">
        <v>45586</v>
      </c>
      <c r="B82" t="s">
        <v>30</v>
      </c>
      <c r="C82">
        <v>703</v>
      </c>
      <c r="D82">
        <v>441</v>
      </c>
      <c r="E82">
        <v>357089</v>
      </c>
      <c r="F82">
        <v>6.5</v>
      </c>
      <c r="G82">
        <v>32478</v>
      </c>
      <c r="H82" s="7">
        <f>Engagement_Summary[[#This Row],[New_Followers]]-Engagement_Summary[[#This Row],[Unfollows]]</f>
        <v>262</v>
      </c>
      <c r="I82" s="9">
        <f>Engagement_Summary[[#This Row],[Net Growth Followers]]/Engagement_Summary[[#This Row],[Total_Followers]]</f>
        <v>7.3371064356504961E-4</v>
      </c>
      <c r="J82" t="str">
        <f>_xlfn.XLOOKUP(Engagement_Summary[[#This Row],[Week_Start_Date]],Task1!C:C,Task1!M:M,"NA",-1)</f>
        <v>CybertruckLaunch</v>
      </c>
    </row>
    <row r="83" spans="1:10" x14ac:dyDescent="0.3">
      <c r="A83" s="1">
        <v>45586</v>
      </c>
      <c r="B83" t="s">
        <v>31</v>
      </c>
      <c r="C83">
        <v>508</v>
      </c>
      <c r="D83">
        <v>69</v>
      </c>
      <c r="E83">
        <v>23492</v>
      </c>
      <c r="F83">
        <v>3.16</v>
      </c>
      <c r="G83">
        <v>42824</v>
      </c>
      <c r="H83" s="7">
        <f>Engagement_Summary[[#This Row],[New_Followers]]-Engagement_Summary[[#This Row],[Unfollows]]</f>
        <v>439</v>
      </c>
      <c r="I83" s="9">
        <f>Engagement_Summary[[#This Row],[Net Growth Followers]]/Engagement_Summary[[#This Row],[Total_Followers]]</f>
        <v>1.8687212668142345E-2</v>
      </c>
      <c r="J83" t="str">
        <f>_xlfn.XLOOKUP(Engagement_Summary[[#This Row],[Week_Start_Date]],Task1!C:C,Task1!M:M,"NA",-1)</f>
        <v>CybertruckLaunch</v>
      </c>
    </row>
    <row r="84" spans="1:10" x14ac:dyDescent="0.3">
      <c r="A84" s="1">
        <v>45586</v>
      </c>
      <c r="B84" t="s">
        <v>32</v>
      </c>
      <c r="C84">
        <v>697</v>
      </c>
      <c r="D84">
        <v>61</v>
      </c>
      <c r="E84">
        <v>258287</v>
      </c>
      <c r="F84">
        <v>8.25</v>
      </c>
      <c r="G84">
        <v>21208</v>
      </c>
      <c r="H84" s="7">
        <f>Engagement_Summary[[#This Row],[New_Followers]]-Engagement_Summary[[#This Row],[Unfollows]]</f>
        <v>636</v>
      </c>
      <c r="I84" s="9">
        <f>Engagement_Summary[[#This Row],[Net Growth Followers]]/Engagement_Summary[[#This Row],[Total_Followers]]</f>
        <v>2.4623771231227277E-3</v>
      </c>
      <c r="J84" t="str">
        <f>_xlfn.XLOOKUP(Engagement_Summary[[#This Row],[Week_Start_Date]],Task1!C:C,Task1!M:M,"NA",-1)</f>
        <v>CybertruckLaunch</v>
      </c>
    </row>
    <row r="85" spans="1:10" x14ac:dyDescent="0.3">
      <c r="A85" s="1">
        <v>45586</v>
      </c>
      <c r="B85" t="s">
        <v>33</v>
      </c>
      <c r="C85">
        <v>1707</v>
      </c>
      <c r="D85">
        <v>223</v>
      </c>
      <c r="E85">
        <v>256910</v>
      </c>
      <c r="F85">
        <v>5.41</v>
      </c>
      <c r="G85">
        <v>44321</v>
      </c>
      <c r="H85" s="7">
        <f>Engagement_Summary[[#This Row],[New_Followers]]-Engagement_Summary[[#This Row],[Unfollows]]</f>
        <v>1484</v>
      </c>
      <c r="I85" s="9">
        <f>Engagement_Summary[[#This Row],[Net Growth Followers]]/Engagement_Summary[[#This Row],[Total_Followers]]</f>
        <v>5.7763419096181542E-3</v>
      </c>
      <c r="J85" t="str">
        <f>_xlfn.XLOOKUP(Engagement_Summary[[#This Row],[Week_Start_Date]],Task1!C:C,Task1!M:M,"NA",-1)</f>
        <v>CybertruckLaunch</v>
      </c>
    </row>
    <row r="86" spans="1:10" x14ac:dyDescent="0.3">
      <c r="A86" s="1">
        <v>45593</v>
      </c>
      <c r="B86" t="s">
        <v>30</v>
      </c>
      <c r="C86">
        <v>642</v>
      </c>
      <c r="D86">
        <v>66</v>
      </c>
      <c r="E86">
        <v>346522</v>
      </c>
      <c r="F86">
        <v>5.85</v>
      </c>
      <c r="G86">
        <v>13116</v>
      </c>
      <c r="H86" s="7">
        <f>Engagement_Summary[[#This Row],[New_Followers]]-Engagement_Summary[[#This Row],[Unfollows]]</f>
        <v>576</v>
      </c>
      <c r="I86" s="9">
        <f>Engagement_Summary[[#This Row],[Net Growth Followers]]/Engagement_Summary[[#This Row],[Total_Followers]]</f>
        <v>1.6622321237901201E-3</v>
      </c>
      <c r="J86" t="str">
        <f>_xlfn.XLOOKUP(Engagement_Summary[[#This Row],[Week_Start_Date]],Task1!C:C,Task1!M:M,"NA",-1)</f>
        <v>FSDUpdate</v>
      </c>
    </row>
    <row r="87" spans="1:10" x14ac:dyDescent="0.3">
      <c r="A87" s="1">
        <v>45593</v>
      </c>
      <c r="B87" t="s">
        <v>31</v>
      </c>
      <c r="C87">
        <v>859</v>
      </c>
      <c r="D87">
        <v>473</v>
      </c>
      <c r="E87">
        <v>209987</v>
      </c>
      <c r="F87">
        <v>4.46</v>
      </c>
      <c r="G87">
        <v>30214</v>
      </c>
      <c r="H87" s="7">
        <f>Engagement_Summary[[#This Row],[New_Followers]]-Engagement_Summary[[#This Row],[Unfollows]]</f>
        <v>386</v>
      </c>
      <c r="I87" s="9">
        <f>Engagement_Summary[[#This Row],[Net Growth Followers]]/Engagement_Summary[[#This Row],[Total_Followers]]</f>
        <v>1.8382090319876945E-3</v>
      </c>
      <c r="J87" t="str">
        <f>_xlfn.XLOOKUP(Engagement_Summary[[#This Row],[Week_Start_Date]],Task1!C:C,Task1!M:M,"NA",-1)</f>
        <v>FSDUpdate</v>
      </c>
    </row>
    <row r="88" spans="1:10" x14ac:dyDescent="0.3">
      <c r="A88" s="1">
        <v>45593</v>
      </c>
      <c r="B88" t="s">
        <v>32</v>
      </c>
      <c r="C88">
        <v>191</v>
      </c>
      <c r="D88">
        <v>154</v>
      </c>
      <c r="E88">
        <v>240550</v>
      </c>
      <c r="F88">
        <v>5.22</v>
      </c>
      <c r="G88">
        <v>15827</v>
      </c>
      <c r="H88" s="7">
        <f>Engagement_Summary[[#This Row],[New_Followers]]-Engagement_Summary[[#This Row],[Unfollows]]</f>
        <v>37</v>
      </c>
      <c r="I88" s="9">
        <f>Engagement_Summary[[#This Row],[Net Growth Followers]]/Engagement_Summary[[#This Row],[Total_Followers]]</f>
        <v>1.5381417584701726E-4</v>
      </c>
      <c r="J88" t="str">
        <f>_xlfn.XLOOKUP(Engagement_Summary[[#This Row],[Week_Start_Date]],Task1!C:C,Task1!M:M,"NA",-1)</f>
        <v>FSDUpdate</v>
      </c>
    </row>
    <row r="89" spans="1:10" x14ac:dyDescent="0.3">
      <c r="A89" s="1">
        <v>45593</v>
      </c>
      <c r="B89" t="s">
        <v>33</v>
      </c>
      <c r="C89">
        <v>1814</v>
      </c>
      <c r="D89">
        <v>157</v>
      </c>
      <c r="E89">
        <v>305827</v>
      </c>
      <c r="F89">
        <v>1.99</v>
      </c>
      <c r="G89">
        <v>46643</v>
      </c>
      <c r="H89" s="7">
        <f>Engagement_Summary[[#This Row],[New_Followers]]-Engagement_Summary[[#This Row],[Unfollows]]</f>
        <v>1657</v>
      </c>
      <c r="I89" s="9">
        <f>Engagement_Summary[[#This Row],[Net Growth Followers]]/Engagement_Summary[[#This Row],[Total_Followers]]</f>
        <v>5.4180958515762179E-3</v>
      </c>
      <c r="J89" t="str">
        <f>_xlfn.XLOOKUP(Engagement_Summary[[#This Row],[Week_Start_Date]],Task1!C:C,Task1!M:M,"NA",-1)</f>
        <v>FSDUpdate</v>
      </c>
    </row>
    <row r="90" spans="1:10" x14ac:dyDescent="0.3">
      <c r="A90" s="1">
        <v>45600</v>
      </c>
      <c r="B90" t="s">
        <v>30</v>
      </c>
      <c r="C90">
        <v>1466</v>
      </c>
      <c r="D90">
        <v>69</v>
      </c>
      <c r="E90">
        <v>54935</v>
      </c>
      <c r="F90">
        <v>6.85</v>
      </c>
      <c r="G90">
        <v>36484</v>
      </c>
      <c r="H90" s="7">
        <f>Engagement_Summary[[#This Row],[New_Followers]]-Engagement_Summary[[#This Row],[Unfollows]]</f>
        <v>1397</v>
      </c>
      <c r="I90" s="9">
        <f>Engagement_Summary[[#This Row],[Net Growth Followers]]/Engagement_Summary[[#This Row],[Total_Followers]]</f>
        <v>2.5430053699827069E-2</v>
      </c>
      <c r="J90" t="str">
        <f>_xlfn.XLOOKUP(Engagement_Summary[[#This Row],[Week_Start_Date]],Task1!C:C,Task1!M:M,"NA",-1)</f>
        <v>SustainabilityDrive</v>
      </c>
    </row>
    <row r="91" spans="1:10" x14ac:dyDescent="0.3">
      <c r="A91" s="1">
        <v>45600</v>
      </c>
      <c r="B91" t="s">
        <v>31</v>
      </c>
      <c r="C91">
        <v>947</v>
      </c>
      <c r="D91">
        <v>407</v>
      </c>
      <c r="E91">
        <v>319186</v>
      </c>
      <c r="F91">
        <v>3.32</v>
      </c>
      <c r="G91">
        <v>4996</v>
      </c>
      <c r="H91" s="7">
        <f>Engagement_Summary[[#This Row],[New_Followers]]-Engagement_Summary[[#This Row],[Unfollows]]</f>
        <v>540</v>
      </c>
      <c r="I91" s="9">
        <f>Engagement_Summary[[#This Row],[Net Growth Followers]]/Engagement_Summary[[#This Row],[Total_Followers]]</f>
        <v>1.6918035252172713E-3</v>
      </c>
      <c r="J91" t="str">
        <f>_xlfn.XLOOKUP(Engagement_Summary[[#This Row],[Week_Start_Date]],Task1!C:C,Task1!M:M,"NA",-1)</f>
        <v>SustainabilityDrive</v>
      </c>
    </row>
    <row r="92" spans="1:10" x14ac:dyDescent="0.3">
      <c r="A92" s="1">
        <v>45600</v>
      </c>
      <c r="B92" t="s">
        <v>32</v>
      </c>
      <c r="C92">
        <v>1821</v>
      </c>
      <c r="D92">
        <v>218</v>
      </c>
      <c r="E92">
        <v>439080</v>
      </c>
      <c r="F92">
        <v>5.68</v>
      </c>
      <c r="G92">
        <v>36095</v>
      </c>
      <c r="H92" s="7">
        <f>Engagement_Summary[[#This Row],[New_Followers]]-Engagement_Summary[[#This Row],[Unfollows]]</f>
        <v>1603</v>
      </c>
      <c r="I92" s="9">
        <f>Engagement_Summary[[#This Row],[Net Growth Followers]]/Engagement_Summary[[#This Row],[Total_Followers]]</f>
        <v>3.6508153411678964E-3</v>
      </c>
      <c r="J92" t="str">
        <f>_xlfn.XLOOKUP(Engagement_Summary[[#This Row],[Week_Start_Date]],Task1!C:C,Task1!M:M,"NA",-1)</f>
        <v>SustainabilityDrive</v>
      </c>
    </row>
    <row r="93" spans="1:10" x14ac:dyDescent="0.3">
      <c r="A93" s="1">
        <v>45600</v>
      </c>
      <c r="B93" t="s">
        <v>33</v>
      </c>
      <c r="C93">
        <v>1507</v>
      </c>
      <c r="D93">
        <v>463</v>
      </c>
      <c r="E93">
        <v>258944</v>
      </c>
      <c r="F93">
        <v>6.08</v>
      </c>
      <c r="G93">
        <v>16443</v>
      </c>
      <c r="H93" s="7">
        <f>Engagement_Summary[[#This Row],[New_Followers]]-Engagement_Summary[[#This Row],[Unfollows]]</f>
        <v>1044</v>
      </c>
      <c r="I93" s="9">
        <f>Engagement_Summary[[#This Row],[Net Growth Followers]]/Engagement_Summary[[#This Row],[Total_Followers]]</f>
        <v>4.0317597627286209E-3</v>
      </c>
      <c r="J93" t="str">
        <f>_xlfn.XLOOKUP(Engagement_Summary[[#This Row],[Week_Start_Date]],Task1!C:C,Task1!M:M,"NA",-1)</f>
        <v>SustainabilityDrive</v>
      </c>
    </row>
    <row r="94" spans="1:10" x14ac:dyDescent="0.3">
      <c r="A94" s="1">
        <v>45607</v>
      </c>
      <c r="B94" t="s">
        <v>30</v>
      </c>
      <c r="C94">
        <v>1075</v>
      </c>
      <c r="D94">
        <v>173</v>
      </c>
      <c r="E94">
        <v>51395</v>
      </c>
      <c r="F94">
        <v>4.66</v>
      </c>
      <c r="G94">
        <v>47812</v>
      </c>
      <c r="H94" s="7">
        <f>Engagement_Summary[[#This Row],[New_Followers]]-Engagement_Summary[[#This Row],[Unfollows]]</f>
        <v>902</v>
      </c>
      <c r="I94" s="9">
        <f>Engagement_Summary[[#This Row],[Net Growth Followers]]/Engagement_Summary[[#This Row],[Total_Followers]]</f>
        <v>1.7550345364335054E-2</v>
      </c>
      <c r="J94" t="str">
        <f>_xlfn.XLOOKUP(Engagement_Summary[[#This Row],[Week_Start_Date]],Task1!C:C,Task1!M:M,"NA",-1)</f>
        <v>SustainabilityDrive</v>
      </c>
    </row>
    <row r="95" spans="1:10" x14ac:dyDescent="0.3">
      <c r="A95" s="1">
        <v>45607</v>
      </c>
      <c r="B95" t="s">
        <v>31</v>
      </c>
      <c r="C95">
        <v>171</v>
      </c>
      <c r="D95">
        <v>277</v>
      </c>
      <c r="E95">
        <v>309483</v>
      </c>
      <c r="F95">
        <v>8.6999999999999993</v>
      </c>
      <c r="G95">
        <v>38452</v>
      </c>
      <c r="H95" s="7">
        <f>Engagement_Summary[[#This Row],[New_Followers]]-Engagement_Summary[[#This Row],[Unfollows]]</f>
        <v>-106</v>
      </c>
      <c r="I95" s="9">
        <f>Engagement_Summary[[#This Row],[Net Growth Followers]]/Engagement_Summary[[#This Row],[Total_Followers]]</f>
        <v>-3.4250669665215861E-4</v>
      </c>
      <c r="J95" t="str">
        <f>_xlfn.XLOOKUP(Engagement_Summary[[#This Row],[Week_Start_Date]],Task1!C:C,Task1!M:M,"NA",-1)</f>
        <v>SustainabilityDrive</v>
      </c>
    </row>
    <row r="96" spans="1:10" x14ac:dyDescent="0.3">
      <c r="A96" s="1">
        <v>45607</v>
      </c>
      <c r="B96" t="s">
        <v>32</v>
      </c>
      <c r="C96">
        <v>1487</v>
      </c>
      <c r="D96">
        <v>337</v>
      </c>
      <c r="E96">
        <v>87305</v>
      </c>
      <c r="F96">
        <v>2.46</v>
      </c>
      <c r="G96">
        <v>30428</v>
      </c>
      <c r="H96" s="7">
        <f>Engagement_Summary[[#This Row],[New_Followers]]-Engagement_Summary[[#This Row],[Unfollows]]</f>
        <v>1150</v>
      </c>
      <c r="I96" s="9">
        <f>Engagement_Summary[[#This Row],[Net Growth Followers]]/Engagement_Summary[[#This Row],[Total_Followers]]</f>
        <v>1.3172212358971423E-2</v>
      </c>
      <c r="J96" t="str">
        <f>_xlfn.XLOOKUP(Engagement_Summary[[#This Row],[Week_Start_Date]],Task1!C:C,Task1!M:M,"NA",-1)</f>
        <v>SustainabilityDrive</v>
      </c>
    </row>
    <row r="97" spans="1:10" x14ac:dyDescent="0.3">
      <c r="A97" s="1">
        <v>45607</v>
      </c>
      <c r="B97" t="s">
        <v>33</v>
      </c>
      <c r="C97">
        <v>454</v>
      </c>
      <c r="D97">
        <v>105</v>
      </c>
      <c r="E97">
        <v>121091</v>
      </c>
      <c r="F97">
        <v>7.97</v>
      </c>
      <c r="G97">
        <v>9269</v>
      </c>
      <c r="H97" s="7">
        <f>Engagement_Summary[[#This Row],[New_Followers]]-Engagement_Summary[[#This Row],[Unfollows]]</f>
        <v>349</v>
      </c>
      <c r="I97" s="9">
        <f>Engagement_Summary[[#This Row],[Net Growth Followers]]/Engagement_Summary[[#This Row],[Total_Followers]]</f>
        <v>2.8821299683708945E-3</v>
      </c>
      <c r="J97" t="str">
        <f>_xlfn.XLOOKUP(Engagement_Summary[[#This Row],[Week_Start_Date]],Task1!C:C,Task1!M:M,"NA",-1)</f>
        <v>SustainabilityDrive</v>
      </c>
    </row>
    <row r="98" spans="1:10" x14ac:dyDescent="0.3">
      <c r="A98" s="1">
        <v>45614</v>
      </c>
      <c r="B98" t="s">
        <v>30</v>
      </c>
      <c r="C98">
        <v>187</v>
      </c>
      <c r="D98">
        <v>236</v>
      </c>
      <c r="E98">
        <v>51087</v>
      </c>
      <c r="F98">
        <v>9.41</v>
      </c>
      <c r="G98">
        <v>29533</v>
      </c>
      <c r="H98" s="7">
        <f>Engagement_Summary[[#This Row],[New_Followers]]-Engagement_Summary[[#This Row],[Unfollows]]</f>
        <v>-49</v>
      </c>
      <c r="I98" s="9">
        <f>Engagement_Summary[[#This Row],[Net Growth Followers]]/Engagement_Summary[[#This Row],[Total_Followers]]</f>
        <v>-9.5914811987394058E-4</v>
      </c>
      <c r="J98" t="str">
        <f>_xlfn.XLOOKUP(Engagement_Summary[[#This Row],[Week_Start_Date]],Task1!C:C,Task1!M:M,"NA",-1)</f>
        <v>CybertruckLaunch</v>
      </c>
    </row>
    <row r="99" spans="1:10" x14ac:dyDescent="0.3">
      <c r="A99" s="1">
        <v>45614</v>
      </c>
      <c r="B99" t="s">
        <v>31</v>
      </c>
      <c r="C99">
        <v>513</v>
      </c>
      <c r="D99">
        <v>441</v>
      </c>
      <c r="E99">
        <v>338847</v>
      </c>
      <c r="F99">
        <v>2.68</v>
      </c>
      <c r="G99">
        <v>39997</v>
      </c>
      <c r="H99" s="7">
        <f>Engagement_Summary[[#This Row],[New_Followers]]-Engagement_Summary[[#This Row],[Unfollows]]</f>
        <v>72</v>
      </c>
      <c r="I99" s="9">
        <f>Engagement_Summary[[#This Row],[Net Growth Followers]]/Engagement_Summary[[#This Row],[Total_Followers]]</f>
        <v>2.1248528096751631E-4</v>
      </c>
      <c r="J99" t="str">
        <f>_xlfn.XLOOKUP(Engagement_Summary[[#This Row],[Week_Start_Date]],Task1!C:C,Task1!M:M,"NA",-1)</f>
        <v>CybertruckLaunch</v>
      </c>
    </row>
    <row r="100" spans="1:10" x14ac:dyDescent="0.3">
      <c r="A100" s="1">
        <v>45614</v>
      </c>
      <c r="B100" t="s">
        <v>32</v>
      </c>
      <c r="C100">
        <v>628</v>
      </c>
      <c r="D100">
        <v>183</v>
      </c>
      <c r="E100">
        <v>487523</v>
      </c>
      <c r="F100">
        <v>7.32</v>
      </c>
      <c r="G100">
        <v>5391</v>
      </c>
      <c r="H100" s="7">
        <f>Engagement_Summary[[#This Row],[New_Followers]]-Engagement_Summary[[#This Row],[Unfollows]]</f>
        <v>445</v>
      </c>
      <c r="I100" s="9">
        <f>Engagement_Summary[[#This Row],[Net Growth Followers]]/Engagement_Summary[[#This Row],[Total_Followers]]</f>
        <v>9.1277744844858602E-4</v>
      </c>
      <c r="J100" t="str">
        <f>_xlfn.XLOOKUP(Engagement_Summary[[#This Row],[Week_Start_Date]],Task1!C:C,Task1!M:M,"NA",-1)</f>
        <v>CybertruckLaunch</v>
      </c>
    </row>
    <row r="101" spans="1:10" x14ac:dyDescent="0.3">
      <c r="A101" s="1">
        <v>45614</v>
      </c>
      <c r="B101" t="s">
        <v>33</v>
      </c>
      <c r="C101">
        <v>278</v>
      </c>
      <c r="D101">
        <v>218</v>
      </c>
      <c r="E101">
        <v>301695</v>
      </c>
      <c r="F101">
        <v>4.68</v>
      </c>
      <c r="G101">
        <v>22373</v>
      </c>
      <c r="H101" s="7">
        <f>Engagement_Summary[[#This Row],[New_Followers]]-Engagement_Summary[[#This Row],[Unfollows]]</f>
        <v>60</v>
      </c>
      <c r="I101" s="9">
        <f>Engagement_Summary[[#This Row],[Net Growth Followers]]/Engagement_Summary[[#This Row],[Total_Followers]]</f>
        <v>1.9887634863023914E-4</v>
      </c>
      <c r="J101" t="str">
        <f>_xlfn.XLOOKUP(Engagement_Summary[[#This Row],[Week_Start_Date]],Task1!C:C,Task1!M:M,"NA",-1)</f>
        <v>CybertruckLaunch</v>
      </c>
    </row>
    <row r="102" spans="1:10" x14ac:dyDescent="0.3">
      <c r="A102" s="1">
        <v>45621</v>
      </c>
      <c r="B102" t="s">
        <v>30</v>
      </c>
      <c r="C102">
        <v>1854</v>
      </c>
      <c r="D102">
        <v>161</v>
      </c>
      <c r="E102">
        <v>282466</v>
      </c>
      <c r="F102">
        <v>5.17</v>
      </c>
      <c r="G102">
        <v>1810</v>
      </c>
      <c r="H102" s="7">
        <f>Engagement_Summary[[#This Row],[New_Followers]]-Engagement_Summary[[#This Row],[Unfollows]]</f>
        <v>1693</v>
      </c>
      <c r="I102" s="9">
        <f>Engagement_Summary[[#This Row],[Net Growth Followers]]/Engagement_Summary[[#This Row],[Total_Followers]]</f>
        <v>5.9936417126309005E-3</v>
      </c>
      <c r="J102" t="str">
        <f>_xlfn.XLOOKUP(Engagement_Summary[[#This Row],[Week_Start_Date]],Task1!C:C,Task1!M:M,"NA",-1)</f>
        <v>NA</v>
      </c>
    </row>
    <row r="103" spans="1:10" x14ac:dyDescent="0.3">
      <c r="A103" s="1">
        <v>45621</v>
      </c>
      <c r="B103" t="s">
        <v>31</v>
      </c>
      <c r="C103">
        <v>1710</v>
      </c>
      <c r="D103">
        <v>378</v>
      </c>
      <c r="E103">
        <v>336661</v>
      </c>
      <c r="F103">
        <v>6.2</v>
      </c>
      <c r="G103">
        <v>28498</v>
      </c>
      <c r="H103" s="7">
        <f>Engagement_Summary[[#This Row],[New_Followers]]-Engagement_Summary[[#This Row],[Unfollows]]</f>
        <v>1332</v>
      </c>
      <c r="I103" s="9">
        <f>Engagement_Summary[[#This Row],[Net Growth Followers]]/Engagement_Summary[[#This Row],[Total_Followers]]</f>
        <v>3.9565022381564839E-3</v>
      </c>
      <c r="J103" t="str">
        <f>_xlfn.XLOOKUP(Engagement_Summary[[#This Row],[Week_Start_Date]],Task1!C:C,Task1!M:M,"NA",-1)</f>
        <v>NA</v>
      </c>
    </row>
    <row r="104" spans="1:10" x14ac:dyDescent="0.3">
      <c r="A104" s="1">
        <v>45621</v>
      </c>
      <c r="B104" t="s">
        <v>32</v>
      </c>
      <c r="C104">
        <v>330</v>
      </c>
      <c r="D104">
        <v>232</v>
      </c>
      <c r="E104">
        <v>88455</v>
      </c>
      <c r="F104">
        <v>2.69</v>
      </c>
      <c r="G104">
        <v>39530</v>
      </c>
      <c r="H104" s="7">
        <f>Engagement_Summary[[#This Row],[New_Followers]]-Engagement_Summary[[#This Row],[Unfollows]]</f>
        <v>98</v>
      </c>
      <c r="I104" s="9">
        <f>Engagement_Summary[[#This Row],[Net Growth Followers]]/Engagement_Summary[[#This Row],[Total_Followers]]</f>
        <v>1.1079079758069075E-3</v>
      </c>
      <c r="J104" t="str">
        <f>_xlfn.XLOOKUP(Engagement_Summary[[#This Row],[Week_Start_Date]],Task1!C:C,Task1!M:M,"NA",-1)</f>
        <v>NA</v>
      </c>
    </row>
    <row r="105" spans="1:10" x14ac:dyDescent="0.3">
      <c r="A105" s="1">
        <v>45621</v>
      </c>
      <c r="B105" t="s">
        <v>33</v>
      </c>
      <c r="C105">
        <v>1293</v>
      </c>
      <c r="D105">
        <v>408</v>
      </c>
      <c r="E105">
        <v>62535</v>
      </c>
      <c r="F105">
        <v>8.9</v>
      </c>
      <c r="G105">
        <v>37876</v>
      </c>
      <c r="H105" s="7">
        <f>Engagement_Summary[[#This Row],[New_Followers]]-Engagement_Summary[[#This Row],[Unfollows]]</f>
        <v>885</v>
      </c>
      <c r="I105" s="9">
        <f>Engagement_Summary[[#This Row],[Net Growth Followers]]/Engagement_Summary[[#This Row],[Total_Followers]]</f>
        <v>1.4152074838090669E-2</v>
      </c>
      <c r="J105" t="str">
        <f>_xlfn.XLOOKUP(Engagement_Summary[[#This Row],[Week_Start_Date]],Task1!C:C,Task1!M:M,"NA",-1)</f>
        <v>NA</v>
      </c>
    </row>
    <row r="106" spans="1:10" x14ac:dyDescent="0.3">
      <c r="A106" s="1">
        <v>45628</v>
      </c>
      <c r="B106" t="s">
        <v>30</v>
      </c>
      <c r="C106">
        <v>1696</v>
      </c>
      <c r="D106">
        <v>71</v>
      </c>
      <c r="E106">
        <v>421957</v>
      </c>
      <c r="F106">
        <v>3.79</v>
      </c>
      <c r="G106">
        <v>36103</v>
      </c>
      <c r="H106" s="7">
        <f>Engagement_Summary[[#This Row],[New_Followers]]-Engagement_Summary[[#This Row],[Unfollows]]</f>
        <v>1625</v>
      </c>
      <c r="I106" s="9">
        <f>Engagement_Summary[[#This Row],[Net Growth Followers]]/Engagement_Summary[[#This Row],[Total_Followers]]</f>
        <v>3.8511033114748661E-3</v>
      </c>
      <c r="J106" t="str">
        <f>_xlfn.XLOOKUP(Engagement_Summary[[#This Row],[Week_Start_Date]],Task1!C:C,Task1!M:M,"NA",-1)</f>
        <v>ModelYCampaign</v>
      </c>
    </row>
    <row r="107" spans="1:10" x14ac:dyDescent="0.3">
      <c r="A107" s="1">
        <v>45628</v>
      </c>
      <c r="B107" t="s">
        <v>31</v>
      </c>
      <c r="C107">
        <v>1902</v>
      </c>
      <c r="D107">
        <v>196</v>
      </c>
      <c r="E107">
        <v>470269</v>
      </c>
      <c r="F107">
        <v>4.79</v>
      </c>
      <c r="G107">
        <v>26103</v>
      </c>
      <c r="H107" s="7">
        <f>Engagement_Summary[[#This Row],[New_Followers]]-Engagement_Summary[[#This Row],[Unfollows]]</f>
        <v>1706</v>
      </c>
      <c r="I107" s="9">
        <f>Engagement_Summary[[#This Row],[Net Growth Followers]]/Engagement_Summary[[#This Row],[Total_Followers]]</f>
        <v>3.6277109484146308E-3</v>
      </c>
      <c r="J107" t="str">
        <f>_xlfn.XLOOKUP(Engagement_Summary[[#This Row],[Week_Start_Date]],Task1!C:C,Task1!M:M,"NA",-1)</f>
        <v>ModelYCampaign</v>
      </c>
    </row>
    <row r="108" spans="1:10" x14ac:dyDescent="0.3">
      <c r="A108" s="1">
        <v>45628</v>
      </c>
      <c r="B108" t="s">
        <v>32</v>
      </c>
      <c r="C108">
        <v>1441</v>
      </c>
      <c r="D108">
        <v>268</v>
      </c>
      <c r="E108">
        <v>309904</v>
      </c>
      <c r="F108">
        <v>6.37</v>
      </c>
      <c r="G108">
        <v>3455</v>
      </c>
      <c r="H108" s="7">
        <f>Engagement_Summary[[#This Row],[New_Followers]]-Engagement_Summary[[#This Row],[Unfollows]]</f>
        <v>1173</v>
      </c>
      <c r="I108" s="9">
        <f>Engagement_Summary[[#This Row],[Net Growth Followers]]/Engagement_Summary[[#This Row],[Total_Followers]]</f>
        <v>3.7850431101244257E-3</v>
      </c>
      <c r="J108" t="str">
        <f>_xlfn.XLOOKUP(Engagement_Summary[[#This Row],[Week_Start_Date]],Task1!C:C,Task1!M:M,"NA",-1)</f>
        <v>ModelYCampaign</v>
      </c>
    </row>
    <row r="109" spans="1:10" x14ac:dyDescent="0.3">
      <c r="A109" s="1">
        <v>45628</v>
      </c>
      <c r="B109" t="s">
        <v>33</v>
      </c>
      <c r="C109">
        <v>452</v>
      </c>
      <c r="D109">
        <v>161</v>
      </c>
      <c r="E109">
        <v>221274</v>
      </c>
      <c r="F109">
        <v>2.65</v>
      </c>
      <c r="G109">
        <v>40888</v>
      </c>
      <c r="H109" s="7">
        <f>Engagement_Summary[[#This Row],[New_Followers]]-Engagement_Summary[[#This Row],[Unfollows]]</f>
        <v>291</v>
      </c>
      <c r="I109" s="9">
        <f>Engagement_Summary[[#This Row],[Net Growth Followers]]/Engagement_Summary[[#This Row],[Total_Followers]]</f>
        <v>1.3151115811166245E-3</v>
      </c>
      <c r="J109" t="str">
        <f>_xlfn.XLOOKUP(Engagement_Summary[[#This Row],[Week_Start_Date]],Task1!C:C,Task1!M:M,"NA",-1)</f>
        <v>ModelYCampaign</v>
      </c>
    </row>
    <row r="110" spans="1:10" x14ac:dyDescent="0.3">
      <c r="A110" s="1">
        <v>45635</v>
      </c>
      <c r="B110" t="s">
        <v>30</v>
      </c>
      <c r="C110">
        <v>1494</v>
      </c>
      <c r="D110">
        <v>375</v>
      </c>
      <c r="E110">
        <v>220616</v>
      </c>
      <c r="F110">
        <v>1.81</v>
      </c>
      <c r="G110">
        <v>22724</v>
      </c>
      <c r="H110" s="7">
        <f>Engagement_Summary[[#This Row],[New_Followers]]-Engagement_Summary[[#This Row],[Unfollows]]</f>
        <v>1119</v>
      </c>
      <c r="I110" s="9">
        <f>Engagement_Summary[[#This Row],[Net Growth Followers]]/Engagement_Summary[[#This Row],[Total_Followers]]</f>
        <v>5.0721615839286359E-3</v>
      </c>
      <c r="J110" t="str">
        <f>_xlfn.XLOOKUP(Engagement_Summary[[#This Row],[Week_Start_Date]],Task1!C:C,Task1!M:M,"NA",-1)</f>
        <v>SustainabilityDrive</v>
      </c>
    </row>
    <row r="111" spans="1:10" x14ac:dyDescent="0.3">
      <c r="A111" s="1">
        <v>45635</v>
      </c>
      <c r="B111" t="s">
        <v>31</v>
      </c>
      <c r="C111">
        <v>1514</v>
      </c>
      <c r="D111">
        <v>141</v>
      </c>
      <c r="E111">
        <v>35842</v>
      </c>
      <c r="F111">
        <v>7.47</v>
      </c>
      <c r="G111">
        <v>18601</v>
      </c>
      <c r="H111" s="7">
        <f>Engagement_Summary[[#This Row],[New_Followers]]-Engagement_Summary[[#This Row],[Unfollows]]</f>
        <v>1373</v>
      </c>
      <c r="I111" s="9">
        <f>Engagement_Summary[[#This Row],[Net Growth Followers]]/Engagement_Summary[[#This Row],[Total_Followers]]</f>
        <v>3.8307014117515761E-2</v>
      </c>
      <c r="J111" t="str">
        <f>_xlfn.XLOOKUP(Engagement_Summary[[#This Row],[Week_Start_Date]],Task1!C:C,Task1!M:M,"NA",-1)</f>
        <v>SustainabilityDrive</v>
      </c>
    </row>
    <row r="112" spans="1:10" x14ac:dyDescent="0.3">
      <c r="A112" s="1">
        <v>45635</v>
      </c>
      <c r="B112" t="s">
        <v>32</v>
      </c>
      <c r="C112">
        <v>1937</v>
      </c>
      <c r="D112">
        <v>210</v>
      </c>
      <c r="E112">
        <v>20607</v>
      </c>
      <c r="F112">
        <v>4.2</v>
      </c>
      <c r="G112">
        <v>20861</v>
      </c>
      <c r="H112" s="7">
        <f>Engagement_Summary[[#This Row],[New_Followers]]-Engagement_Summary[[#This Row],[Unfollows]]</f>
        <v>1727</v>
      </c>
      <c r="I112" s="9">
        <f>Engagement_Summary[[#This Row],[Net Growth Followers]]/Engagement_Summary[[#This Row],[Total_Followers]]</f>
        <v>8.3806473528412681E-2</v>
      </c>
      <c r="J112" t="str">
        <f>_xlfn.XLOOKUP(Engagement_Summary[[#This Row],[Week_Start_Date]],Task1!C:C,Task1!M:M,"NA",-1)</f>
        <v>SustainabilityDrive</v>
      </c>
    </row>
    <row r="113" spans="1:10" x14ac:dyDescent="0.3">
      <c r="A113" s="1">
        <v>45635</v>
      </c>
      <c r="B113" t="s">
        <v>33</v>
      </c>
      <c r="C113">
        <v>736</v>
      </c>
      <c r="D113">
        <v>163</v>
      </c>
      <c r="E113">
        <v>451894</v>
      </c>
      <c r="F113">
        <v>5.43</v>
      </c>
      <c r="G113">
        <v>46625</v>
      </c>
      <c r="H113" s="7">
        <f>Engagement_Summary[[#This Row],[New_Followers]]-Engagement_Summary[[#This Row],[Unfollows]]</f>
        <v>573</v>
      </c>
      <c r="I113" s="9">
        <f>Engagement_Summary[[#This Row],[Net Growth Followers]]/Engagement_Summary[[#This Row],[Total_Followers]]</f>
        <v>1.2679964770499277E-3</v>
      </c>
      <c r="J113" t="str">
        <f>_xlfn.XLOOKUP(Engagement_Summary[[#This Row],[Week_Start_Date]],Task1!C:C,Task1!M:M,"NA",-1)</f>
        <v>SustainabilityDrive</v>
      </c>
    </row>
    <row r="114" spans="1:10" x14ac:dyDescent="0.3">
      <c r="A114" s="1">
        <v>45642</v>
      </c>
      <c r="B114" t="s">
        <v>30</v>
      </c>
      <c r="C114">
        <v>1502</v>
      </c>
      <c r="D114">
        <v>70</v>
      </c>
      <c r="E114">
        <v>465553</v>
      </c>
      <c r="F114">
        <v>3.32</v>
      </c>
      <c r="G114">
        <v>20692</v>
      </c>
      <c r="H114" s="7">
        <f>Engagement_Summary[[#This Row],[New_Followers]]-Engagement_Summary[[#This Row],[Unfollows]]</f>
        <v>1432</v>
      </c>
      <c r="I114" s="9">
        <f>Engagement_Summary[[#This Row],[Net Growth Followers]]/Engagement_Summary[[#This Row],[Total_Followers]]</f>
        <v>3.0759118725472716E-3</v>
      </c>
      <c r="J114" t="str">
        <f>_xlfn.XLOOKUP(Engagement_Summary[[#This Row],[Week_Start_Date]],Task1!C:C,Task1!M:M,"NA",-1)</f>
        <v>ModelYCampaign</v>
      </c>
    </row>
    <row r="115" spans="1:10" x14ac:dyDescent="0.3">
      <c r="A115" s="1">
        <v>45642</v>
      </c>
      <c r="B115" t="s">
        <v>31</v>
      </c>
      <c r="C115">
        <v>1623</v>
      </c>
      <c r="D115">
        <v>246</v>
      </c>
      <c r="E115">
        <v>415815</v>
      </c>
      <c r="F115">
        <v>8.11</v>
      </c>
      <c r="G115">
        <v>18656</v>
      </c>
      <c r="H115" s="7">
        <f>Engagement_Summary[[#This Row],[New_Followers]]-Engagement_Summary[[#This Row],[Unfollows]]</f>
        <v>1377</v>
      </c>
      <c r="I115" s="9">
        <f>Engagement_Summary[[#This Row],[Net Growth Followers]]/Engagement_Summary[[#This Row],[Total_Followers]]</f>
        <v>3.311568846722701E-3</v>
      </c>
      <c r="J115" t="str">
        <f>_xlfn.XLOOKUP(Engagement_Summary[[#This Row],[Week_Start_Date]],Task1!C:C,Task1!M:M,"NA",-1)</f>
        <v>ModelYCampaign</v>
      </c>
    </row>
    <row r="116" spans="1:10" x14ac:dyDescent="0.3">
      <c r="A116" s="1">
        <v>45642</v>
      </c>
      <c r="B116" t="s">
        <v>32</v>
      </c>
      <c r="C116">
        <v>1592</v>
      </c>
      <c r="D116">
        <v>233</v>
      </c>
      <c r="E116">
        <v>327183</v>
      </c>
      <c r="F116">
        <v>6.66</v>
      </c>
      <c r="G116">
        <v>13316</v>
      </c>
      <c r="H116" s="7">
        <f>Engagement_Summary[[#This Row],[New_Followers]]-Engagement_Summary[[#This Row],[Unfollows]]</f>
        <v>1359</v>
      </c>
      <c r="I116" s="9">
        <f>Engagement_Summary[[#This Row],[Net Growth Followers]]/Engagement_Summary[[#This Row],[Total_Followers]]</f>
        <v>4.1536387893013997E-3</v>
      </c>
      <c r="J116" t="str">
        <f>_xlfn.XLOOKUP(Engagement_Summary[[#This Row],[Week_Start_Date]],Task1!C:C,Task1!M:M,"NA",-1)</f>
        <v>ModelYCampaign</v>
      </c>
    </row>
    <row r="117" spans="1:10" x14ac:dyDescent="0.3">
      <c r="A117" s="1">
        <v>45642</v>
      </c>
      <c r="B117" t="s">
        <v>33</v>
      </c>
      <c r="C117">
        <v>1004</v>
      </c>
      <c r="D117">
        <v>128</v>
      </c>
      <c r="E117">
        <v>488901</v>
      </c>
      <c r="F117">
        <v>8.09</v>
      </c>
      <c r="G117">
        <v>49558</v>
      </c>
      <c r="H117" s="7">
        <f>Engagement_Summary[[#This Row],[New_Followers]]-Engagement_Summary[[#This Row],[Unfollows]]</f>
        <v>876</v>
      </c>
      <c r="I117" s="9">
        <f>Engagement_Summary[[#This Row],[Net Growth Followers]]/Engagement_Summary[[#This Row],[Total_Followers]]</f>
        <v>1.7917737946946315E-3</v>
      </c>
      <c r="J117" t="str">
        <f>_xlfn.XLOOKUP(Engagement_Summary[[#This Row],[Week_Start_Date]],Task1!C:C,Task1!M:M,"NA",-1)</f>
        <v>ModelYCampaign</v>
      </c>
    </row>
    <row r="118" spans="1:10" x14ac:dyDescent="0.3">
      <c r="A118" s="1">
        <v>45649</v>
      </c>
      <c r="B118" t="s">
        <v>30</v>
      </c>
      <c r="C118">
        <v>1092</v>
      </c>
      <c r="D118">
        <v>408</v>
      </c>
      <c r="E118">
        <v>280795</v>
      </c>
      <c r="F118">
        <v>8.44</v>
      </c>
      <c r="G118">
        <v>4683</v>
      </c>
      <c r="H118" s="7">
        <f>Engagement_Summary[[#This Row],[New_Followers]]-Engagement_Summary[[#This Row],[Unfollows]]</f>
        <v>684</v>
      </c>
      <c r="I118" s="9">
        <f>Engagement_Summary[[#This Row],[Net Growth Followers]]/Engagement_Summary[[#This Row],[Total_Followers]]</f>
        <v>2.4359408109118751E-3</v>
      </c>
      <c r="J118" t="str">
        <f>_xlfn.XLOOKUP(Engagement_Summary[[#This Row],[Week_Start_Date]],Task1!C:C,Task1!M:M,"NA",-1)</f>
        <v>CybertruckLaunch</v>
      </c>
    </row>
    <row r="119" spans="1:10" x14ac:dyDescent="0.3">
      <c r="A119" s="1">
        <v>45649</v>
      </c>
      <c r="B119" t="s">
        <v>31</v>
      </c>
      <c r="C119">
        <v>1155</v>
      </c>
      <c r="D119">
        <v>425</v>
      </c>
      <c r="E119">
        <v>93347</v>
      </c>
      <c r="F119">
        <v>2.02</v>
      </c>
      <c r="G119">
        <v>47502</v>
      </c>
      <c r="H119" s="7">
        <f>Engagement_Summary[[#This Row],[New_Followers]]-Engagement_Summary[[#This Row],[Unfollows]]</f>
        <v>730</v>
      </c>
      <c r="I119" s="9">
        <f>Engagement_Summary[[#This Row],[Net Growth Followers]]/Engagement_Summary[[#This Row],[Total_Followers]]</f>
        <v>7.8202834584935772E-3</v>
      </c>
      <c r="J119" t="str">
        <f>_xlfn.XLOOKUP(Engagement_Summary[[#This Row],[Week_Start_Date]],Task1!C:C,Task1!M:M,"NA",-1)</f>
        <v>CybertruckLaunch</v>
      </c>
    </row>
    <row r="120" spans="1:10" x14ac:dyDescent="0.3">
      <c r="A120" s="1">
        <v>45649</v>
      </c>
      <c r="B120" t="s">
        <v>32</v>
      </c>
      <c r="C120">
        <v>1137</v>
      </c>
      <c r="D120">
        <v>226</v>
      </c>
      <c r="E120">
        <v>81119</v>
      </c>
      <c r="F120">
        <v>7.74</v>
      </c>
      <c r="G120">
        <v>35359</v>
      </c>
      <c r="H120" s="7">
        <f>Engagement_Summary[[#This Row],[New_Followers]]-Engagement_Summary[[#This Row],[Unfollows]]</f>
        <v>911</v>
      </c>
      <c r="I120" s="9">
        <f>Engagement_Summary[[#This Row],[Net Growth Followers]]/Engagement_Summary[[#This Row],[Total_Followers]]</f>
        <v>1.1230414576116569E-2</v>
      </c>
      <c r="J120" t="str">
        <f>_xlfn.XLOOKUP(Engagement_Summary[[#This Row],[Week_Start_Date]],Task1!C:C,Task1!M:M,"NA",-1)</f>
        <v>CybertruckLaunch</v>
      </c>
    </row>
    <row r="121" spans="1:10" x14ac:dyDescent="0.3">
      <c r="A121" s="1">
        <v>45649</v>
      </c>
      <c r="B121" t="s">
        <v>33</v>
      </c>
      <c r="C121">
        <v>1900</v>
      </c>
      <c r="D121">
        <v>311</v>
      </c>
      <c r="E121">
        <v>25177</v>
      </c>
      <c r="F121">
        <v>2.89</v>
      </c>
      <c r="G121">
        <v>14154</v>
      </c>
      <c r="H121" s="7">
        <f>Engagement_Summary[[#This Row],[New_Followers]]-Engagement_Summary[[#This Row],[Unfollows]]</f>
        <v>1589</v>
      </c>
      <c r="I121" s="9">
        <f>Engagement_Summary[[#This Row],[Net Growth Followers]]/Engagement_Summary[[#This Row],[Total_Followers]]</f>
        <v>6.3113158835445049E-2</v>
      </c>
      <c r="J121" t="str">
        <f>_xlfn.XLOOKUP(Engagement_Summary[[#This Row],[Week_Start_Date]],Task1!C:C,Task1!M:M,"NA",-1)</f>
        <v>CybertruckLaunch</v>
      </c>
    </row>
    <row r="122" spans="1:10" x14ac:dyDescent="0.3">
      <c r="A122" s="1">
        <v>45656</v>
      </c>
      <c r="B122" t="s">
        <v>30</v>
      </c>
      <c r="C122">
        <v>1814</v>
      </c>
      <c r="D122">
        <v>49</v>
      </c>
      <c r="E122">
        <v>140804</v>
      </c>
      <c r="F122">
        <v>1.76</v>
      </c>
      <c r="G122">
        <v>4313</v>
      </c>
      <c r="H122" s="7">
        <f>Engagement_Summary[[#This Row],[New_Followers]]-Engagement_Summary[[#This Row],[Unfollows]]</f>
        <v>1765</v>
      </c>
      <c r="I122" s="9">
        <f>Engagement_Summary[[#This Row],[Net Growth Followers]]/Engagement_Summary[[#This Row],[Total_Followers]]</f>
        <v>1.253515525127127E-2</v>
      </c>
      <c r="J122" t="str">
        <f>_xlfn.XLOOKUP(Engagement_Summary[[#This Row],[Week_Start_Date]],Task1!C:C,Task1!M:M,"NA",-1)</f>
        <v>FSDUpdate</v>
      </c>
    </row>
    <row r="123" spans="1:10" x14ac:dyDescent="0.3">
      <c r="A123" s="1">
        <v>45656</v>
      </c>
      <c r="B123" t="s">
        <v>31</v>
      </c>
      <c r="C123">
        <v>1980</v>
      </c>
      <c r="D123">
        <v>204</v>
      </c>
      <c r="E123">
        <v>379431</v>
      </c>
      <c r="F123">
        <v>3.09</v>
      </c>
      <c r="G123">
        <v>25140</v>
      </c>
      <c r="H123" s="7">
        <f>Engagement_Summary[[#This Row],[New_Followers]]-Engagement_Summary[[#This Row],[Unfollows]]</f>
        <v>1776</v>
      </c>
      <c r="I123" s="9">
        <f>Engagement_Summary[[#This Row],[Net Growth Followers]]/Engagement_Summary[[#This Row],[Total_Followers]]</f>
        <v>4.6806929323118035E-3</v>
      </c>
      <c r="J123" t="str">
        <f>_xlfn.XLOOKUP(Engagement_Summary[[#This Row],[Week_Start_Date]],Task1!C:C,Task1!M:M,"NA",-1)</f>
        <v>FSDUpdate</v>
      </c>
    </row>
    <row r="124" spans="1:10" x14ac:dyDescent="0.3">
      <c r="A124" s="1">
        <v>45656</v>
      </c>
      <c r="B124" t="s">
        <v>32</v>
      </c>
      <c r="C124">
        <v>1786</v>
      </c>
      <c r="D124">
        <v>257</v>
      </c>
      <c r="E124">
        <v>274831</v>
      </c>
      <c r="F124">
        <v>4.68</v>
      </c>
      <c r="G124">
        <v>9118</v>
      </c>
      <c r="H124" s="7">
        <f>Engagement_Summary[[#This Row],[New_Followers]]-Engagement_Summary[[#This Row],[Unfollows]]</f>
        <v>1529</v>
      </c>
      <c r="I124" s="9">
        <f>Engagement_Summary[[#This Row],[Net Growth Followers]]/Engagement_Summary[[#This Row],[Total_Followers]]</f>
        <v>5.5634189738421064E-3</v>
      </c>
      <c r="J124" t="str">
        <f>_xlfn.XLOOKUP(Engagement_Summary[[#This Row],[Week_Start_Date]],Task1!C:C,Task1!M:M,"NA",-1)</f>
        <v>FSDUpdate</v>
      </c>
    </row>
    <row r="125" spans="1:10" x14ac:dyDescent="0.3">
      <c r="A125" s="1">
        <v>45656</v>
      </c>
      <c r="B125" t="s">
        <v>33</v>
      </c>
      <c r="C125">
        <v>1495</v>
      </c>
      <c r="D125">
        <v>35</v>
      </c>
      <c r="E125">
        <v>136845</v>
      </c>
      <c r="F125">
        <v>4.4800000000000004</v>
      </c>
      <c r="G125">
        <v>39931</v>
      </c>
      <c r="H125" s="7">
        <f>Engagement_Summary[[#This Row],[New_Followers]]-Engagement_Summary[[#This Row],[Unfollows]]</f>
        <v>1460</v>
      </c>
      <c r="I125" s="9">
        <f>Engagement_Summary[[#This Row],[Net Growth Followers]]/Engagement_Summary[[#This Row],[Total_Followers]]</f>
        <v>1.0669005078738719E-2</v>
      </c>
      <c r="J125" t="str">
        <f>_xlfn.XLOOKUP(Engagement_Summary[[#This Row],[Week_Start_Date]],Task1!C:C,Task1!M:M,"NA",-1)</f>
        <v>FSDUpdate</v>
      </c>
    </row>
    <row r="126" spans="1:10" x14ac:dyDescent="0.3">
      <c r="A126" s="1">
        <v>45663</v>
      </c>
      <c r="B126" t="s">
        <v>30</v>
      </c>
      <c r="C126">
        <v>1013</v>
      </c>
      <c r="D126">
        <v>110</v>
      </c>
      <c r="E126">
        <v>466382</v>
      </c>
      <c r="F126">
        <v>5.3</v>
      </c>
      <c r="G126">
        <v>37132</v>
      </c>
      <c r="H126" s="7">
        <f>Engagement_Summary[[#This Row],[New_Followers]]-Engagement_Summary[[#This Row],[Unfollows]]</f>
        <v>903</v>
      </c>
      <c r="I126" s="9">
        <f>Engagement_Summary[[#This Row],[Net Growth Followers]]/Engagement_Summary[[#This Row],[Total_Followers]]</f>
        <v>1.9361810704529763E-3</v>
      </c>
      <c r="J126" t="str">
        <f>_xlfn.XLOOKUP(Engagement_Summary[[#This Row],[Week_Start_Date]],Task1!C:C,Task1!M:M,"NA",-1)</f>
        <v>ModelYCampaign</v>
      </c>
    </row>
    <row r="127" spans="1:10" x14ac:dyDescent="0.3">
      <c r="A127" s="1">
        <v>45663</v>
      </c>
      <c r="B127" t="s">
        <v>31</v>
      </c>
      <c r="C127">
        <v>816</v>
      </c>
      <c r="D127">
        <v>196</v>
      </c>
      <c r="E127">
        <v>95728</v>
      </c>
      <c r="F127">
        <v>8.1999999999999993</v>
      </c>
      <c r="G127">
        <v>17951</v>
      </c>
      <c r="H127" s="7">
        <f>Engagement_Summary[[#This Row],[New_Followers]]-Engagement_Summary[[#This Row],[Unfollows]]</f>
        <v>620</v>
      </c>
      <c r="I127" s="9">
        <f>Engagement_Summary[[#This Row],[Net Growth Followers]]/Engagement_Summary[[#This Row],[Total_Followers]]</f>
        <v>6.4766839378238338E-3</v>
      </c>
      <c r="J127" t="str">
        <f>_xlfn.XLOOKUP(Engagement_Summary[[#This Row],[Week_Start_Date]],Task1!C:C,Task1!M:M,"NA",-1)</f>
        <v>ModelYCampaign</v>
      </c>
    </row>
    <row r="128" spans="1:10" x14ac:dyDescent="0.3">
      <c r="A128" s="1">
        <v>45663</v>
      </c>
      <c r="B128" t="s">
        <v>32</v>
      </c>
      <c r="C128">
        <v>1633</v>
      </c>
      <c r="D128">
        <v>445</v>
      </c>
      <c r="E128">
        <v>371156</v>
      </c>
      <c r="F128">
        <v>2.2200000000000002</v>
      </c>
      <c r="G128">
        <v>2798</v>
      </c>
      <c r="H128" s="7">
        <f>Engagement_Summary[[#This Row],[New_Followers]]-Engagement_Summary[[#This Row],[Unfollows]]</f>
        <v>1188</v>
      </c>
      <c r="I128" s="9">
        <f>Engagement_Summary[[#This Row],[Net Growth Followers]]/Engagement_Summary[[#This Row],[Total_Followers]]</f>
        <v>3.2008104408927781E-3</v>
      </c>
      <c r="J128" t="str">
        <f>_xlfn.XLOOKUP(Engagement_Summary[[#This Row],[Week_Start_Date]],Task1!C:C,Task1!M:M,"NA",-1)</f>
        <v>ModelYCampaign</v>
      </c>
    </row>
    <row r="129" spans="1:10" x14ac:dyDescent="0.3">
      <c r="A129" s="1">
        <v>45663</v>
      </c>
      <c r="B129" t="s">
        <v>33</v>
      </c>
      <c r="C129">
        <v>891</v>
      </c>
      <c r="D129">
        <v>45</v>
      </c>
      <c r="E129">
        <v>95410</v>
      </c>
      <c r="F129">
        <v>8.33</v>
      </c>
      <c r="G129">
        <v>15045</v>
      </c>
      <c r="H129" s="7">
        <f>Engagement_Summary[[#This Row],[New_Followers]]-Engagement_Summary[[#This Row],[Unfollows]]</f>
        <v>846</v>
      </c>
      <c r="I129" s="9">
        <f>Engagement_Summary[[#This Row],[Net Growth Followers]]/Engagement_Summary[[#This Row],[Total_Followers]]</f>
        <v>8.8669950738916262E-3</v>
      </c>
      <c r="J129" t="str">
        <f>_xlfn.XLOOKUP(Engagement_Summary[[#This Row],[Week_Start_Date]],Task1!C:C,Task1!M:M,"NA",-1)</f>
        <v>ModelYCampaign</v>
      </c>
    </row>
    <row r="130" spans="1:10" x14ac:dyDescent="0.3">
      <c r="A130" s="1">
        <v>45670</v>
      </c>
      <c r="B130" t="s">
        <v>30</v>
      </c>
      <c r="C130">
        <v>1855</v>
      </c>
      <c r="D130">
        <v>133</v>
      </c>
      <c r="E130">
        <v>349413</v>
      </c>
      <c r="F130">
        <v>3.3</v>
      </c>
      <c r="G130">
        <v>14548</v>
      </c>
      <c r="H130" s="7">
        <f>Engagement_Summary[[#This Row],[New_Followers]]-Engagement_Summary[[#This Row],[Unfollows]]</f>
        <v>1722</v>
      </c>
      <c r="I130" s="9">
        <f>Engagement_Summary[[#This Row],[Net Growth Followers]]/Engagement_Summary[[#This Row],[Total_Followers]]</f>
        <v>4.9282654051223049E-3</v>
      </c>
      <c r="J130" t="str">
        <f>_xlfn.XLOOKUP(Engagement_Summary[[#This Row],[Week_Start_Date]],Task1!C:C,Task1!M:M,"NA",-1)</f>
        <v>CybertruckLaunch</v>
      </c>
    </row>
    <row r="131" spans="1:10" x14ac:dyDescent="0.3">
      <c r="A131" s="1">
        <v>45670</v>
      </c>
      <c r="B131" t="s">
        <v>31</v>
      </c>
      <c r="C131">
        <v>651</v>
      </c>
      <c r="D131">
        <v>353</v>
      </c>
      <c r="E131">
        <v>224699</v>
      </c>
      <c r="F131">
        <v>5.61</v>
      </c>
      <c r="G131">
        <v>45708</v>
      </c>
      <c r="H131" s="7">
        <f>Engagement_Summary[[#This Row],[New_Followers]]-Engagement_Summary[[#This Row],[Unfollows]]</f>
        <v>298</v>
      </c>
      <c r="I131" s="9">
        <f>Engagement_Summary[[#This Row],[Net Growth Followers]]/Engagement_Summary[[#This Row],[Total_Followers]]</f>
        <v>1.3262186302564765E-3</v>
      </c>
      <c r="J131" t="str">
        <f>_xlfn.XLOOKUP(Engagement_Summary[[#This Row],[Week_Start_Date]],Task1!C:C,Task1!M:M,"NA",-1)</f>
        <v>CybertruckLaunch</v>
      </c>
    </row>
    <row r="132" spans="1:10" x14ac:dyDescent="0.3">
      <c r="A132" s="1">
        <v>45670</v>
      </c>
      <c r="B132" t="s">
        <v>32</v>
      </c>
      <c r="C132">
        <v>118</v>
      </c>
      <c r="D132">
        <v>262</v>
      </c>
      <c r="E132">
        <v>487896</v>
      </c>
      <c r="F132">
        <v>2.56</v>
      </c>
      <c r="G132">
        <v>12350</v>
      </c>
      <c r="H132" s="7">
        <f>Engagement_Summary[[#This Row],[New_Followers]]-Engagement_Summary[[#This Row],[Unfollows]]</f>
        <v>-144</v>
      </c>
      <c r="I132" s="9">
        <f>Engagement_Summary[[#This Row],[Net Growth Followers]]/Engagement_Summary[[#This Row],[Total_Followers]]</f>
        <v>-2.9514486693885583E-4</v>
      </c>
      <c r="J132" t="str">
        <f>_xlfn.XLOOKUP(Engagement_Summary[[#This Row],[Week_Start_Date]],Task1!C:C,Task1!M:M,"NA",-1)</f>
        <v>CybertruckLaunch</v>
      </c>
    </row>
    <row r="133" spans="1:10" x14ac:dyDescent="0.3">
      <c r="A133" s="1">
        <v>45670</v>
      </c>
      <c r="B133" t="s">
        <v>33</v>
      </c>
      <c r="C133">
        <v>1331</v>
      </c>
      <c r="D133">
        <v>430</v>
      </c>
      <c r="E133">
        <v>14437</v>
      </c>
      <c r="F133">
        <v>3.29</v>
      </c>
      <c r="G133">
        <v>40868</v>
      </c>
      <c r="H133" s="7">
        <f>Engagement_Summary[[#This Row],[New_Followers]]-Engagement_Summary[[#This Row],[Unfollows]]</f>
        <v>901</v>
      </c>
      <c r="I133" s="9">
        <f>Engagement_Summary[[#This Row],[Net Growth Followers]]/Engagement_Summary[[#This Row],[Total_Followers]]</f>
        <v>6.2409087760615087E-2</v>
      </c>
      <c r="J133" t="str">
        <f>_xlfn.XLOOKUP(Engagement_Summary[[#This Row],[Week_Start_Date]],Task1!C:C,Task1!M:M,"NA",-1)</f>
        <v>CybertruckLaunch</v>
      </c>
    </row>
    <row r="134" spans="1:10" x14ac:dyDescent="0.3">
      <c r="A134" s="1">
        <v>45677</v>
      </c>
      <c r="B134" t="s">
        <v>30</v>
      </c>
      <c r="C134">
        <v>1748</v>
      </c>
      <c r="D134">
        <v>176</v>
      </c>
      <c r="E134">
        <v>383681</v>
      </c>
      <c r="F134">
        <v>9.24</v>
      </c>
      <c r="G134">
        <v>43122</v>
      </c>
      <c r="H134" s="7">
        <f>Engagement_Summary[[#This Row],[New_Followers]]-Engagement_Summary[[#This Row],[Unfollows]]</f>
        <v>1572</v>
      </c>
      <c r="I134" s="9">
        <f>Engagement_Summary[[#This Row],[Net Growth Followers]]/Engagement_Summary[[#This Row],[Total_Followers]]</f>
        <v>4.0971536250166149E-3</v>
      </c>
      <c r="J134" t="str">
        <f>_xlfn.XLOOKUP(Engagement_Summary[[#This Row],[Week_Start_Date]],Task1!C:C,Task1!M:M,"NA",-1)</f>
        <v>SustainabilityDrive</v>
      </c>
    </row>
    <row r="135" spans="1:10" x14ac:dyDescent="0.3">
      <c r="A135" s="1">
        <v>45677</v>
      </c>
      <c r="B135" t="s">
        <v>31</v>
      </c>
      <c r="C135">
        <v>663</v>
      </c>
      <c r="D135">
        <v>236</v>
      </c>
      <c r="E135">
        <v>479490</v>
      </c>
      <c r="F135">
        <v>4.51</v>
      </c>
      <c r="G135">
        <v>23853</v>
      </c>
      <c r="H135" s="7">
        <f>Engagement_Summary[[#This Row],[New_Followers]]-Engagement_Summary[[#This Row],[Unfollows]]</f>
        <v>427</v>
      </c>
      <c r="I135" s="9">
        <f>Engagement_Summary[[#This Row],[Net Growth Followers]]/Engagement_Summary[[#This Row],[Total_Followers]]</f>
        <v>8.9052952094934197E-4</v>
      </c>
      <c r="J135" t="str">
        <f>_xlfn.XLOOKUP(Engagement_Summary[[#This Row],[Week_Start_Date]],Task1!C:C,Task1!M:M,"NA",-1)</f>
        <v>SustainabilityDrive</v>
      </c>
    </row>
    <row r="136" spans="1:10" x14ac:dyDescent="0.3">
      <c r="A136" s="1">
        <v>45677</v>
      </c>
      <c r="B136" t="s">
        <v>32</v>
      </c>
      <c r="C136">
        <v>1040</v>
      </c>
      <c r="D136">
        <v>149</v>
      </c>
      <c r="E136">
        <v>124404</v>
      </c>
      <c r="F136">
        <v>5.23</v>
      </c>
      <c r="G136">
        <v>45380</v>
      </c>
      <c r="H136" s="7">
        <f>Engagement_Summary[[#This Row],[New_Followers]]-Engagement_Summary[[#This Row],[Unfollows]]</f>
        <v>891</v>
      </c>
      <c r="I136" s="9">
        <f>Engagement_Summary[[#This Row],[Net Growth Followers]]/Engagement_Summary[[#This Row],[Total_Followers]]</f>
        <v>7.1621491270377159E-3</v>
      </c>
      <c r="J136" t="str">
        <f>_xlfn.XLOOKUP(Engagement_Summary[[#This Row],[Week_Start_Date]],Task1!C:C,Task1!M:M,"NA",-1)</f>
        <v>SustainabilityDrive</v>
      </c>
    </row>
    <row r="137" spans="1:10" x14ac:dyDescent="0.3">
      <c r="A137" s="1">
        <v>45677</v>
      </c>
      <c r="B137" t="s">
        <v>33</v>
      </c>
      <c r="C137">
        <v>1166</v>
      </c>
      <c r="D137">
        <v>442</v>
      </c>
      <c r="E137">
        <v>336949</v>
      </c>
      <c r="F137">
        <v>4.68</v>
      </c>
      <c r="G137">
        <v>7705</v>
      </c>
      <c r="H137" s="7">
        <f>Engagement_Summary[[#This Row],[New_Followers]]-Engagement_Summary[[#This Row],[Unfollows]]</f>
        <v>724</v>
      </c>
      <c r="I137" s="9">
        <f>Engagement_Summary[[#This Row],[Net Growth Followers]]/Engagement_Summary[[#This Row],[Total_Followers]]</f>
        <v>2.1486931256659019E-3</v>
      </c>
      <c r="J137" t="str">
        <f>_xlfn.XLOOKUP(Engagement_Summary[[#This Row],[Week_Start_Date]],Task1!C:C,Task1!M:M,"NA",-1)</f>
        <v>SustainabilityDrive</v>
      </c>
    </row>
    <row r="138" spans="1:10" x14ac:dyDescent="0.3">
      <c r="A138" s="1">
        <v>45684</v>
      </c>
      <c r="B138" t="s">
        <v>30</v>
      </c>
      <c r="C138">
        <v>115</v>
      </c>
      <c r="D138">
        <v>281</v>
      </c>
      <c r="E138">
        <v>357265</v>
      </c>
      <c r="F138">
        <v>9.23</v>
      </c>
      <c r="G138">
        <v>25525</v>
      </c>
      <c r="H138" s="7">
        <f>Engagement_Summary[[#This Row],[New_Followers]]-Engagement_Summary[[#This Row],[Unfollows]]</f>
        <v>-166</v>
      </c>
      <c r="I138" s="9">
        <f>Engagement_Summary[[#This Row],[Net Growth Followers]]/Engagement_Summary[[#This Row],[Total_Followers]]</f>
        <v>-4.6464109274628077E-4</v>
      </c>
      <c r="J138" t="str">
        <f>_xlfn.XLOOKUP(Engagement_Summary[[#This Row],[Week_Start_Date]],Task1!C:C,Task1!M:M,"NA",-1)</f>
        <v>SustainabilityDrive</v>
      </c>
    </row>
    <row r="139" spans="1:10" x14ac:dyDescent="0.3">
      <c r="A139" s="1">
        <v>45684</v>
      </c>
      <c r="B139" t="s">
        <v>31</v>
      </c>
      <c r="C139">
        <v>1249</v>
      </c>
      <c r="D139">
        <v>351</v>
      </c>
      <c r="E139">
        <v>321307</v>
      </c>
      <c r="F139">
        <v>6.37</v>
      </c>
      <c r="G139">
        <v>20560</v>
      </c>
      <c r="H139" s="7">
        <f>Engagement_Summary[[#This Row],[New_Followers]]-Engagement_Summary[[#This Row],[Unfollows]]</f>
        <v>898</v>
      </c>
      <c r="I139" s="9">
        <f>Engagement_Summary[[#This Row],[Net Growth Followers]]/Engagement_Summary[[#This Row],[Total_Followers]]</f>
        <v>2.7948348464241365E-3</v>
      </c>
      <c r="J139" t="str">
        <f>_xlfn.XLOOKUP(Engagement_Summary[[#This Row],[Week_Start_Date]],Task1!C:C,Task1!M:M,"NA",-1)</f>
        <v>SustainabilityDrive</v>
      </c>
    </row>
    <row r="140" spans="1:10" x14ac:dyDescent="0.3">
      <c r="A140" s="1">
        <v>45684</v>
      </c>
      <c r="B140" t="s">
        <v>32</v>
      </c>
      <c r="C140">
        <v>1501</v>
      </c>
      <c r="D140">
        <v>75</v>
      </c>
      <c r="E140">
        <v>262569</v>
      </c>
      <c r="F140">
        <v>2.0099999999999998</v>
      </c>
      <c r="G140">
        <v>19119</v>
      </c>
      <c r="H140" s="7">
        <f>Engagement_Summary[[#This Row],[New_Followers]]-Engagement_Summary[[#This Row],[Unfollows]]</f>
        <v>1426</v>
      </c>
      <c r="I140" s="9">
        <f>Engagement_Summary[[#This Row],[Net Growth Followers]]/Engagement_Summary[[#This Row],[Total_Followers]]</f>
        <v>5.4309533874905263E-3</v>
      </c>
      <c r="J140" t="str">
        <f>_xlfn.XLOOKUP(Engagement_Summary[[#This Row],[Week_Start_Date]],Task1!C:C,Task1!M:M,"NA",-1)</f>
        <v>SustainabilityDrive</v>
      </c>
    </row>
    <row r="141" spans="1:10" x14ac:dyDescent="0.3">
      <c r="A141" s="1">
        <v>45684</v>
      </c>
      <c r="B141" t="s">
        <v>33</v>
      </c>
      <c r="C141">
        <v>1411</v>
      </c>
      <c r="D141">
        <v>186</v>
      </c>
      <c r="E141">
        <v>461669</v>
      </c>
      <c r="F141">
        <v>3.72</v>
      </c>
      <c r="G141">
        <v>43999</v>
      </c>
      <c r="H141" s="7">
        <f>Engagement_Summary[[#This Row],[New_Followers]]-Engagement_Summary[[#This Row],[Unfollows]]</f>
        <v>1225</v>
      </c>
      <c r="I141" s="9">
        <f>Engagement_Summary[[#This Row],[Net Growth Followers]]/Engagement_Summary[[#This Row],[Total_Followers]]</f>
        <v>2.6534161921203288E-3</v>
      </c>
      <c r="J141" t="str">
        <f>_xlfn.XLOOKUP(Engagement_Summary[[#This Row],[Week_Start_Date]],Task1!C:C,Task1!M:M,"NA",-1)</f>
        <v>SustainabilityDrive</v>
      </c>
    </row>
    <row r="142" spans="1:10" x14ac:dyDescent="0.3">
      <c r="A142" s="1">
        <v>45691</v>
      </c>
      <c r="B142" t="s">
        <v>30</v>
      </c>
      <c r="C142">
        <v>1556</v>
      </c>
      <c r="D142">
        <v>476</v>
      </c>
      <c r="E142">
        <v>351556</v>
      </c>
      <c r="F142">
        <v>3.89</v>
      </c>
      <c r="G142">
        <v>10825</v>
      </c>
      <c r="H142" s="7">
        <f>Engagement_Summary[[#This Row],[New_Followers]]-Engagement_Summary[[#This Row],[Unfollows]]</f>
        <v>1080</v>
      </c>
      <c r="I142" s="9">
        <f>Engagement_Summary[[#This Row],[Net Growth Followers]]/Engagement_Summary[[#This Row],[Total_Followers]]</f>
        <v>3.0720567989168156E-3</v>
      </c>
      <c r="J142" t="str">
        <f>_xlfn.XLOOKUP(Engagement_Summary[[#This Row],[Week_Start_Date]],Task1!C:C,Task1!M:M,"NA",-1)</f>
        <v>SustainabilityDrive</v>
      </c>
    </row>
    <row r="143" spans="1:10" x14ac:dyDescent="0.3">
      <c r="A143" s="1">
        <v>45691</v>
      </c>
      <c r="B143" t="s">
        <v>31</v>
      </c>
      <c r="C143">
        <v>1159</v>
      </c>
      <c r="D143">
        <v>411</v>
      </c>
      <c r="E143">
        <v>135987</v>
      </c>
      <c r="F143">
        <v>8.6999999999999993</v>
      </c>
      <c r="G143">
        <v>40323</v>
      </c>
      <c r="H143" s="7">
        <f>Engagement_Summary[[#This Row],[New_Followers]]-Engagement_Summary[[#This Row],[Unfollows]]</f>
        <v>748</v>
      </c>
      <c r="I143" s="9">
        <f>Engagement_Summary[[#This Row],[Net Growth Followers]]/Engagement_Summary[[#This Row],[Total_Followers]]</f>
        <v>5.5005257855530306E-3</v>
      </c>
      <c r="J143" t="str">
        <f>_xlfn.XLOOKUP(Engagement_Summary[[#This Row],[Week_Start_Date]],Task1!C:C,Task1!M:M,"NA",-1)</f>
        <v>SustainabilityDrive</v>
      </c>
    </row>
    <row r="144" spans="1:10" x14ac:dyDescent="0.3">
      <c r="A144" s="1">
        <v>45691</v>
      </c>
      <c r="B144" t="s">
        <v>32</v>
      </c>
      <c r="C144">
        <v>927</v>
      </c>
      <c r="D144">
        <v>358</v>
      </c>
      <c r="E144">
        <v>177554</v>
      </c>
      <c r="F144">
        <v>6.95</v>
      </c>
      <c r="G144">
        <v>48270</v>
      </c>
      <c r="H144" s="7">
        <f>Engagement_Summary[[#This Row],[New_Followers]]-Engagement_Summary[[#This Row],[Unfollows]]</f>
        <v>569</v>
      </c>
      <c r="I144" s="9">
        <f>Engagement_Summary[[#This Row],[Net Growth Followers]]/Engagement_Summary[[#This Row],[Total_Followers]]</f>
        <v>3.2046588643454949E-3</v>
      </c>
      <c r="J144" t="str">
        <f>_xlfn.XLOOKUP(Engagement_Summary[[#This Row],[Week_Start_Date]],Task1!C:C,Task1!M:M,"NA",-1)</f>
        <v>SustainabilityDrive</v>
      </c>
    </row>
    <row r="145" spans="1:10" x14ac:dyDescent="0.3">
      <c r="A145" s="1">
        <v>45691</v>
      </c>
      <c r="B145" t="s">
        <v>33</v>
      </c>
      <c r="C145">
        <v>152</v>
      </c>
      <c r="D145">
        <v>355</v>
      </c>
      <c r="E145">
        <v>270766</v>
      </c>
      <c r="F145">
        <v>9.48</v>
      </c>
      <c r="G145">
        <v>18001</v>
      </c>
      <c r="H145" s="7">
        <f>Engagement_Summary[[#This Row],[New_Followers]]-Engagement_Summary[[#This Row],[Unfollows]]</f>
        <v>-203</v>
      </c>
      <c r="I145" s="9">
        <f>Engagement_Summary[[#This Row],[Net Growth Followers]]/Engagement_Summary[[#This Row],[Total_Followers]]</f>
        <v>-7.4972485467156139E-4</v>
      </c>
      <c r="J145" t="str">
        <f>_xlfn.XLOOKUP(Engagement_Summary[[#This Row],[Week_Start_Date]],Task1!C:C,Task1!M:M,"NA",-1)</f>
        <v>SustainabilityDrive</v>
      </c>
    </row>
    <row r="146" spans="1:10" x14ac:dyDescent="0.3">
      <c r="A146" s="1">
        <v>45698</v>
      </c>
      <c r="B146" t="s">
        <v>30</v>
      </c>
      <c r="C146">
        <v>1957</v>
      </c>
      <c r="D146">
        <v>234</v>
      </c>
      <c r="E146">
        <v>222126</v>
      </c>
      <c r="F146">
        <v>4.6100000000000003</v>
      </c>
      <c r="G146">
        <v>3314</v>
      </c>
      <c r="H146" s="7">
        <f>Engagement_Summary[[#This Row],[New_Followers]]-Engagement_Summary[[#This Row],[Unfollows]]</f>
        <v>1723</v>
      </c>
      <c r="I146" s="9">
        <f>Engagement_Summary[[#This Row],[Net Growth Followers]]/Engagement_Summary[[#This Row],[Total_Followers]]</f>
        <v>7.7568587198256845E-3</v>
      </c>
      <c r="J146" t="str">
        <f>_xlfn.XLOOKUP(Engagement_Summary[[#This Row],[Week_Start_Date]],Task1!C:C,Task1!M:M,"NA",-1)</f>
        <v>NA</v>
      </c>
    </row>
    <row r="147" spans="1:10" x14ac:dyDescent="0.3">
      <c r="A147" s="1">
        <v>45698</v>
      </c>
      <c r="B147" t="s">
        <v>31</v>
      </c>
      <c r="C147">
        <v>1294</v>
      </c>
      <c r="D147">
        <v>382</v>
      </c>
      <c r="E147">
        <v>309914</v>
      </c>
      <c r="F147">
        <v>8.0299999999999994</v>
      </c>
      <c r="G147">
        <v>23489</v>
      </c>
      <c r="H147" s="7">
        <f>Engagement_Summary[[#This Row],[New_Followers]]-Engagement_Summary[[#This Row],[Unfollows]]</f>
        <v>912</v>
      </c>
      <c r="I147" s="9">
        <f>Engagement_Summary[[#This Row],[Net Growth Followers]]/Engagement_Summary[[#This Row],[Total_Followers]]</f>
        <v>2.9427518601934728E-3</v>
      </c>
      <c r="J147" t="str">
        <f>_xlfn.XLOOKUP(Engagement_Summary[[#This Row],[Week_Start_Date]],Task1!C:C,Task1!M:M,"NA",-1)</f>
        <v>NA</v>
      </c>
    </row>
    <row r="148" spans="1:10" x14ac:dyDescent="0.3">
      <c r="A148" s="1">
        <v>45698</v>
      </c>
      <c r="B148" t="s">
        <v>32</v>
      </c>
      <c r="C148">
        <v>1587</v>
      </c>
      <c r="D148">
        <v>385</v>
      </c>
      <c r="E148">
        <v>126582</v>
      </c>
      <c r="F148">
        <v>6.99</v>
      </c>
      <c r="G148">
        <v>42832</v>
      </c>
      <c r="H148" s="7">
        <f>Engagement_Summary[[#This Row],[New_Followers]]-Engagement_Summary[[#This Row],[Unfollows]]</f>
        <v>1202</v>
      </c>
      <c r="I148" s="9">
        <f>Engagement_Summary[[#This Row],[Net Growth Followers]]/Engagement_Summary[[#This Row],[Total_Followers]]</f>
        <v>9.4958208908059605E-3</v>
      </c>
      <c r="J148" t="str">
        <f>_xlfn.XLOOKUP(Engagement_Summary[[#This Row],[Week_Start_Date]],Task1!C:C,Task1!M:M,"NA",-1)</f>
        <v>NA</v>
      </c>
    </row>
    <row r="149" spans="1:10" x14ac:dyDescent="0.3">
      <c r="A149" s="1">
        <v>45698</v>
      </c>
      <c r="B149" t="s">
        <v>33</v>
      </c>
      <c r="C149">
        <v>1707</v>
      </c>
      <c r="D149">
        <v>263</v>
      </c>
      <c r="E149">
        <v>485280</v>
      </c>
      <c r="F149">
        <v>9.0299999999999994</v>
      </c>
      <c r="G149">
        <v>24494</v>
      </c>
      <c r="H149" s="7">
        <f>Engagement_Summary[[#This Row],[New_Followers]]-Engagement_Summary[[#This Row],[Unfollows]]</f>
        <v>1444</v>
      </c>
      <c r="I149" s="9">
        <f>Engagement_Summary[[#This Row],[Net Growth Followers]]/Engagement_Summary[[#This Row],[Total_Followers]]</f>
        <v>2.9756017144741179E-3</v>
      </c>
      <c r="J149" t="str">
        <f>_xlfn.XLOOKUP(Engagement_Summary[[#This Row],[Week_Start_Date]],Task1!C:C,Task1!M:M,"NA",-1)</f>
        <v>NA</v>
      </c>
    </row>
    <row r="150" spans="1:10" x14ac:dyDescent="0.3">
      <c r="A150" s="1">
        <v>45705</v>
      </c>
      <c r="B150" t="s">
        <v>30</v>
      </c>
      <c r="C150">
        <v>1138</v>
      </c>
      <c r="D150">
        <v>173</v>
      </c>
      <c r="E150">
        <v>453243</v>
      </c>
      <c r="F150">
        <v>2.86</v>
      </c>
      <c r="G150">
        <v>44097</v>
      </c>
      <c r="H150" s="7">
        <f>Engagement_Summary[[#This Row],[New_Followers]]-Engagement_Summary[[#This Row],[Unfollows]]</f>
        <v>965</v>
      </c>
      <c r="I150" s="9">
        <f>Engagement_Summary[[#This Row],[Net Growth Followers]]/Engagement_Summary[[#This Row],[Total_Followers]]</f>
        <v>2.1291007252180398E-3</v>
      </c>
      <c r="J150" t="str">
        <f>_xlfn.XLOOKUP(Engagement_Summary[[#This Row],[Week_Start_Date]],Task1!C:C,Task1!M:M,"NA",-1)</f>
        <v>SustainabilityDrive</v>
      </c>
    </row>
    <row r="151" spans="1:10" x14ac:dyDescent="0.3">
      <c r="A151" s="1">
        <v>45705</v>
      </c>
      <c r="B151" t="s">
        <v>31</v>
      </c>
      <c r="C151">
        <v>1895</v>
      </c>
      <c r="D151">
        <v>305</v>
      </c>
      <c r="E151">
        <v>104967</v>
      </c>
      <c r="F151">
        <v>3.85</v>
      </c>
      <c r="G151">
        <v>31853</v>
      </c>
      <c r="H151" s="7">
        <f>Engagement_Summary[[#This Row],[New_Followers]]-Engagement_Summary[[#This Row],[Unfollows]]</f>
        <v>1590</v>
      </c>
      <c r="I151" s="9">
        <f>Engagement_Summary[[#This Row],[Net Growth Followers]]/Engagement_Summary[[#This Row],[Total_Followers]]</f>
        <v>1.5147617822744291E-2</v>
      </c>
      <c r="J151" t="str">
        <f>_xlfn.XLOOKUP(Engagement_Summary[[#This Row],[Week_Start_Date]],Task1!C:C,Task1!M:M,"NA",-1)</f>
        <v>SustainabilityDrive</v>
      </c>
    </row>
    <row r="152" spans="1:10" x14ac:dyDescent="0.3">
      <c r="A152" s="1">
        <v>45705</v>
      </c>
      <c r="B152" t="s">
        <v>32</v>
      </c>
      <c r="C152">
        <v>362</v>
      </c>
      <c r="D152">
        <v>399</v>
      </c>
      <c r="E152">
        <v>145608</v>
      </c>
      <c r="F152">
        <v>7.3</v>
      </c>
      <c r="G152">
        <v>37636</v>
      </c>
      <c r="H152" s="7">
        <f>Engagement_Summary[[#This Row],[New_Followers]]-Engagement_Summary[[#This Row],[Unfollows]]</f>
        <v>-37</v>
      </c>
      <c r="I152" s="9">
        <f>Engagement_Summary[[#This Row],[Net Growth Followers]]/Engagement_Summary[[#This Row],[Total_Followers]]</f>
        <v>-2.5410691720235154E-4</v>
      </c>
      <c r="J152" t="str">
        <f>_xlfn.XLOOKUP(Engagement_Summary[[#This Row],[Week_Start_Date]],Task1!C:C,Task1!M:M,"NA",-1)</f>
        <v>SustainabilityDrive</v>
      </c>
    </row>
    <row r="153" spans="1:10" x14ac:dyDescent="0.3">
      <c r="A153" s="1">
        <v>45705</v>
      </c>
      <c r="B153" t="s">
        <v>33</v>
      </c>
      <c r="C153">
        <v>1662</v>
      </c>
      <c r="D153">
        <v>487</v>
      </c>
      <c r="E153">
        <v>105980</v>
      </c>
      <c r="F153">
        <v>9.08</v>
      </c>
      <c r="G153">
        <v>22996</v>
      </c>
      <c r="H153" s="7">
        <f>Engagement_Summary[[#This Row],[New_Followers]]-Engagement_Summary[[#This Row],[Unfollows]]</f>
        <v>1175</v>
      </c>
      <c r="I153" s="9">
        <f>Engagement_Summary[[#This Row],[Net Growth Followers]]/Engagement_Summary[[#This Row],[Total_Followers]]</f>
        <v>1.1086997546706926E-2</v>
      </c>
      <c r="J153" t="str">
        <f>_xlfn.XLOOKUP(Engagement_Summary[[#This Row],[Week_Start_Date]],Task1!C:C,Task1!M:M,"NA",-1)</f>
        <v>SustainabilityDrive</v>
      </c>
    </row>
    <row r="154" spans="1:10" x14ac:dyDescent="0.3">
      <c r="A154" s="1">
        <v>45712</v>
      </c>
      <c r="B154" t="s">
        <v>30</v>
      </c>
      <c r="C154">
        <v>1440</v>
      </c>
      <c r="D154">
        <v>65</v>
      </c>
      <c r="E154">
        <v>126524</v>
      </c>
      <c r="F154">
        <v>4.34</v>
      </c>
      <c r="G154">
        <v>49772</v>
      </c>
      <c r="H154" s="7">
        <f>Engagement_Summary[[#This Row],[New_Followers]]-Engagement_Summary[[#This Row],[Unfollows]]</f>
        <v>1375</v>
      </c>
      <c r="I154" s="9">
        <f>Engagement_Summary[[#This Row],[Net Growth Followers]]/Engagement_Summary[[#This Row],[Total_Followers]]</f>
        <v>1.0867503398564699E-2</v>
      </c>
      <c r="J154" t="str">
        <f>_xlfn.XLOOKUP(Engagement_Summary[[#This Row],[Week_Start_Date]],Task1!C:C,Task1!M:M,"NA",-1)</f>
        <v>NA</v>
      </c>
    </row>
    <row r="155" spans="1:10" x14ac:dyDescent="0.3">
      <c r="A155" s="1">
        <v>45712</v>
      </c>
      <c r="B155" t="s">
        <v>31</v>
      </c>
      <c r="C155">
        <v>1884</v>
      </c>
      <c r="D155">
        <v>177</v>
      </c>
      <c r="E155">
        <v>230448</v>
      </c>
      <c r="F155">
        <v>7.8</v>
      </c>
      <c r="G155">
        <v>22713</v>
      </c>
      <c r="H155" s="7">
        <f>Engagement_Summary[[#This Row],[New_Followers]]-Engagement_Summary[[#This Row],[Unfollows]]</f>
        <v>1707</v>
      </c>
      <c r="I155" s="9">
        <f>Engagement_Summary[[#This Row],[Net Growth Followers]]/Engagement_Summary[[#This Row],[Total_Followers]]</f>
        <v>7.4073109768798169E-3</v>
      </c>
      <c r="J155" t="str">
        <f>_xlfn.XLOOKUP(Engagement_Summary[[#This Row],[Week_Start_Date]],Task1!C:C,Task1!M:M,"NA",-1)</f>
        <v>NA</v>
      </c>
    </row>
    <row r="156" spans="1:10" x14ac:dyDescent="0.3">
      <c r="A156" s="1">
        <v>45712</v>
      </c>
      <c r="B156" t="s">
        <v>32</v>
      </c>
      <c r="C156">
        <v>861</v>
      </c>
      <c r="D156">
        <v>153</v>
      </c>
      <c r="E156">
        <v>317007</v>
      </c>
      <c r="F156">
        <v>3.85</v>
      </c>
      <c r="G156">
        <v>8718</v>
      </c>
      <c r="H156" s="7">
        <f>Engagement_Summary[[#This Row],[New_Followers]]-Engagement_Summary[[#This Row],[Unfollows]]</f>
        <v>708</v>
      </c>
      <c r="I156" s="9">
        <f>Engagement_Summary[[#This Row],[Net Growth Followers]]/Engagement_Summary[[#This Row],[Total_Followers]]</f>
        <v>2.2333891680625349E-3</v>
      </c>
      <c r="J156" t="str">
        <f>_xlfn.XLOOKUP(Engagement_Summary[[#This Row],[Week_Start_Date]],Task1!C:C,Task1!M:M,"NA",-1)</f>
        <v>NA</v>
      </c>
    </row>
    <row r="157" spans="1:10" x14ac:dyDescent="0.3">
      <c r="A157" s="1">
        <v>45712</v>
      </c>
      <c r="B157" t="s">
        <v>33</v>
      </c>
      <c r="C157">
        <v>1063</v>
      </c>
      <c r="D157">
        <v>47</v>
      </c>
      <c r="E157">
        <v>464239</v>
      </c>
      <c r="F157">
        <v>6.58</v>
      </c>
      <c r="G157">
        <v>39031</v>
      </c>
      <c r="H157" s="7">
        <f>Engagement_Summary[[#This Row],[New_Followers]]-Engagement_Summary[[#This Row],[Unfollows]]</f>
        <v>1016</v>
      </c>
      <c r="I157" s="9">
        <f>Engagement_Summary[[#This Row],[Net Growth Followers]]/Engagement_Summary[[#This Row],[Total_Followers]]</f>
        <v>2.1885278918832756E-3</v>
      </c>
      <c r="J157" t="str">
        <f>_xlfn.XLOOKUP(Engagement_Summary[[#This Row],[Week_Start_Date]],Task1!C:C,Task1!M:M,"NA",-1)</f>
        <v>NA</v>
      </c>
    </row>
    <row r="158" spans="1:10" x14ac:dyDescent="0.3">
      <c r="A158" s="1">
        <v>45719</v>
      </c>
      <c r="B158" t="s">
        <v>30</v>
      </c>
      <c r="C158">
        <v>1371</v>
      </c>
      <c r="D158">
        <v>56</v>
      </c>
      <c r="E158">
        <v>257579</v>
      </c>
      <c r="F158">
        <v>8.6199999999999992</v>
      </c>
      <c r="G158">
        <v>33799</v>
      </c>
      <c r="H158" s="7">
        <f>Engagement_Summary[[#This Row],[New_Followers]]-Engagement_Summary[[#This Row],[Unfollows]]</f>
        <v>1315</v>
      </c>
      <c r="I158" s="9">
        <f>Engagement_Summary[[#This Row],[Net Growth Followers]]/Engagement_Summary[[#This Row],[Total_Followers]]</f>
        <v>5.1052298518124532E-3</v>
      </c>
      <c r="J158" t="str">
        <f>_xlfn.XLOOKUP(Engagement_Summary[[#This Row],[Week_Start_Date]],Task1!C:C,Task1!M:M,"NA",-1)</f>
        <v>ModelYCampaign</v>
      </c>
    </row>
    <row r="159" spans="1:10" x14ac:dyDescent="0.3">
      <c r="A159" s="1">
        <v>45719</v>
      </c>
      <c r="B159" t="s">
        <v>31</v>
      </c>
      <c r="C159">
        <v>345</v>
      </c>
      <c r="D159">
        <v>464</v>
      </c>
      <c r="E159">
        <v>366881</v>
      </c>
      <c r="F159">
        <v>4.55</v>
      </c>
      <c r="G159">
        <v>20553</v>
      </c>
      <c r="H159" s="7">
        <f>Engagement_Summary[[#This Row],[New_Followers]]-Engagement_Summary[[#This Row],[Unfollows]]</f>
        <v>-119</v>
      </c>
      <c r="I159" s="9">
        <f>Engagement_Summary[[#This Row],[Net Growth Followers]]/Engagement_Summary[[#This Row],[Total_Followers]]</f>
        <v>-3.2435585380545735E-4</v>
      </c>
      <c r="J159" t="str">
        <f>_xlfn.XLOOKUP(Engagement_Summary[[#This Row],[Week_Start_Date]],Task1!C:C,Task1!M:M,"NA",-1)</f>
        <v>ModelYCampaign</v>
      </c>
    </row>
    <row r="160" spans="1:10" x14ac:dyDescent="0.3">
      <c r="A160" s="1">
        <v>45719</v>
      </c>
      <c r="B160" t="s">
        <v>32</v>
      </c>
      <c r="C160">
        <v>946</v>
      </c>
      <c r="D160">
        <v>47</v>
      </c>
      <c r="E160">
        <v>466575</v>
      </c>
      <c r="F160">
        <v>8.33</v>
      </c>
      <c r="G160">
        <v>10002</v>
      </c>
      <c r="H160" s="7">
        <f>Engagement_Summary[[#This Row],[New_Followers]]-Engagement_Summary[[#This Row],[Unfollows]]</f>
        <v>899</v>
      </c>
      <c r="I160" s="9">
        <f>Engagement_Summary[[#This Row],[Net Growth Followers]]/Engagement_Summary[[#This Row],[Total_Followers]]</f>
        <v>1.9268070513850934E-3</v>
      </c>
      <c r="J160" t="str">
        <f>_xlfn.XLOOKUP(Engagement_Summary[[#This Row],[Week_Start_Date]],Task1!C:C,Task1!M:M,"NA",-1)</f>
        <v>ModelYCampaign</v>
      </c>
    </row>
    <row r="161" spans="1:10" x14ac:dyDescent="0.3">
      <c r="A161" s="1">
        <v>45719</v>
      </c>
      <c r="B161" t="s">
        <v>33</v>
      </c>
      <c r="C161">
        <v>510</v>
      </c>
      <c r="D161">
        <v>195</v>
      </c>
      <c r="E161">
        <v>224534</v>
      </c>
      <c r="F161">
        <v>9.4</v>
      </c>
      <c r="G161">
        <v>30987</v>
      </c>
      <c r="H161" s="7">
        <f>Engagement_Summary[[#This Row],[New_Followers]]-Engagement_Summary[[#This Row],[Unfollows]]</f>
        <v>315</v>
      </c>
      <c r="I161" s="9">
        <f>Engagement_Summary[[#This Row],[Net Growth Followers]]/Engagement_Summary[[#This Row],[Total_Followers]]</f>
        <v>1.4029055733207443E-3</v>
      </c>
      <c r="J161" t="str">
        <f>_xlfn.XLOOKUP(Engagement_Summary[[#This Row],[Week_Start_Date]],Task1!C:C,Task1!M:M,"NA",-1)</f>
        <v>ModelYCampaign</v>
      </c>
    </row>
    <row r="162" spans="1:10" x14ac:dyDescent="0.3">
      <c r="A162" s="1">
        <v>45726</v>
      </c>
      <c r="B162" t="s">
        <v>30</v>
      </c>
      <c r="C162">
        <v>393</v>
      </c>
      <c r="D162">
        <v>181</v>
      </c>
      <c r="E162">
        <v>462142</v>
      </c>
      <c r="F162">
        <v>7.23</v>
      </c>
      <c r="G162">
        <v>6296</v>
      </c>
      <c r="H162" s="7">
        <f>Engagement_Summary[[#This Row],[New_Followers]]-Engagement_Summary[[#This Row],[Unfollows]]</f>
        <v>212</v>
      </c>
      <c r="I162" s="9">
        <f>Engagement_Summary[[#This Row],[Net Growth Followers]]/Engagement_Summary[[#This Row],[Total_Followers]]</f>
        <v>4.5873346287504706E-4</v>
      </c>
      <c r="J162" t="str">
        <f>_xlfn.XLOOKUP(Engagement_Summary[[#This Row],[Week_Start_Date]],Task1!C:C,Task1!M:M,"NA",-1)</f>
        <v>SustainabilityDrive</v>
      </c>
    </row>
    <row r="163" spans="1:10" x14ac:dyDescent="0.3">
      <c r="A163" s="1">
        <v>45726</v>
      </c>
      <c r="B163" t="s">
        <v>31</v>
      </c>
      <c r="C163">
        <v>1098</v>
      </c>
      <c r="D163">
        <v>190</v>
      </c>
      <c r="E163">
        <v>340842</v>
      </c>
      <c r="F163">
        <v>9.39</v>
      </c>
      <c r="G163">
        <v>21539</v>
      </c>
      <c r="H163" s="7">
        <f>Engagement_Summary[[#This Row],[New_Followers]]-Engagement_Summary[[#This Row],[Unfollows]]</f>
        <v>908</v>
      </c>
      <c r="I163" s="9">
        <f>Engagement_Summary[[#This Row],[Net Growth Followers]]/Engagement_Summary[[#This Row],[Total_Followers]]</f>
        <v>2.6639909400836752E-3</v>
      </c>
      <c r="J163" t="str">
        <f>_xlfn.XLOOKUP(Engagement_Summary[[#This Row],[Week_Start_Date]],Task1!C:C,Task1!M:M,"NA",-1)</f>
        <v>SustainabilityDrive</v>
      </c>
    </row>
    <row r="164" spans="1:10" x14ac:dyDescent="0.3">
      <c r="A164" s="1">
        <v>45726</v>
      </c>
      <c r="B164" t="s">
        <v>32</v>
      </c>
      <c r="C164">
        <v>1399</v>
      </c>
      <c r="D164">
        <v>49</v>
      </c>
      <c r="E164">
        <v>12471</v>
      </c>
      <c r="F164">
        <v>5.12</v>
      </c>
      <c r="G164">
        <v>14722</v>
      </c>
      <c r="H164" s="7">
        <f>Engagement_Summary[[#This Row],[New_Followers]]-Engagement_Summary[[#This Row],[Unfollows]]</f>
        <v>1350</v>
      </c>
      <c r="I164" s="9">
        <f>Engagement_Summary[[#This Row],[Net Growth Followers]]/Engagement_Summary[[#This Row],[Total_Followers]]</f>
        <v>0.10825114265095021</v>
      </c>
      <c r="J164" t="str">
        <f>_xlfn.XLOOKUP(Engagement_Summary[[#This Row],[Week_Start_Date]],Task1!C:C,Task1!M:M,"NA",-1)</f>
        <v>SustainabilityDrive</v>
      </c>
    </row>
    <row r="165" spans="1:10" x14ac:dyDescent="0.3">
      <c r="A165" s="1">
        <v>45726</v>
      </c>
      <c r="B165" t="s">
        <v>33</v>
      </c>
      <c r="C165">
        <v>1658</v>
      </c>
      <c r="D165">
        <v>416</v>
      </c>
      <c r="E165">
        <v>98397</v>
      </c>
      <c r="F165">
        <v>6.11</v>
      </c>
      <c r="G165">
        <v>11383</v>
      </c>
      <c r="H165" s="7">
        <f>Engagement_Summary[[#This Row],[New_Followers]]-Engagement_Summary[[#This Row],[Unfollows]]</f>
        <v>1242</v>
      </c>
      <c r="I165" s="9">
        <f>Engagement_Summary[[#This Row],[Net Growth Followers]]/Engagement_Summary[[#This Row],[Total_Followers]]</f>
        <v>1.2622336046830695E-2</v>
      </c>
      <c r="J165" t="str">
        <f>_xlfn.XLOOKUP(Engagement_Summary[[#This Row],[Week_Start_Date]],Task1!C:C,Task1!M:M,"NA",-1)</f>
        <v>SustainabilityDrive</v>
      </c>
    </row>
    <row r="166" spans="1:10" x14ac:dyDescent="0.3">
      <c r="A166" s="1">
        <v>45733</v>
      </c>
      <c r="B166" t="s">
        <v>30</v>
      </c>
      <c r="C166">
        <v>1102</v>
      </c>
      <c r="D166">
        <v>422</v>
      </c>
      <c r="E166">
        <v>410330</v>
      </c>
      <c r="F166">
        <v>7.74</v>
      </c>
      <c r="G166">
        <v>9480</v>
      </c>
      <c r="H166" s="7">
        <f>Engagement_Summary[[#This Row],[New_Followers]]-Engagement_Summary[[#This Row],[Unfollows]]</f>
        <v>680</v>
      </c>
      <c r="I166" s="9">
        <f>Engagement_Summary[[#This Row],[Net Growth Followers]]/Engagement_Summary[[#This Row],[Total_Followers]]</f>
        <v>1.6572027392586454E-3</v>
      </c>
      <c r="J166" t="str">
        <f>_xlfn.XLOOKUP(Engagement_Summary[[#This Row],[Week_Start_Date]],Task1!C:C,Task1!M:M,"NA",-1)</f>
        <v>ModelYCampaign</v>
      </c>
    </row>
    <row r="167" spans="1:10" x14ac:dyDescent="0.3">
      <c r="A167" s="1">
        <v>45733</v>
      </c>
      <c r="B167" t="s">
        <v>31</v>
      </c>
      <c r="C167">
        <v>1358</v>
      </c>
      <c r="D167">
        <v>242</v>
      </c>
      <c r="E167">
        <v>342129</v>
      </c>
      <c r="F167">
        <v>4.9400000000000004</v>
      </c>
      <c r="G167">
        <v>29116</v>
      </c>
      <c r="H167" s="7">
        <f>Engagement_Summary[[#This Row],[New_Followers]]-Engagement_Summary[[#This Row],[Unfollows]]</f>
        <v>1116</v>
      </c>
      <c r="I167" s="9">
        <f>Engagement_Summary[[#This Row],[Net Growth Followers]]/Engagement_Summary[[#This Row],[Total_Followers]]</f>
        <v>3.2619275185675578E-3</v>
      </c>
      <c r="J167" t="str">
        <f>_xlfn.XLOOKUP(Engagement_Summary[[#This Row],[Week_Start_Date]],Task1!C:C,Task1!M:M,"NA",-1)</f>
        <v>ModelYCampaign</v>
      </c>
    </row>
    <row r="168" spans="1:10" x14ac:dyDescent="0.3">
      <c r="A168" s="1">
        <v>45733</v>
      </c>
      <c r="B168" t="s">
        <v>32</v>
      </c>
      <c r="C168">
        <v>1077</v>
      </c>
      <c r="D168">
        <v>216</v>
      </c>
      <c r="E168">
        <v>12447</v>
      </c>
      <c r="F168">
        <v>1.8</v>
      </c>
      <c r="G168">
        <v>14068</v>
      </c>
      <c r="H168" s="7">
        <f>Engagement_Summary[[#This Row],[New_Followers]]-Engagement_Summary[[#This Row],[Unfollows]]</f>
        <v>861</v>
      </c>
      <c r="I168" s="9">
        <f>Engagement_Summary[[#This Row],[Net Growth Followers]]/Engagement_Summary[[#This Row],[Total_Followers]]</f>
        <v>6.9173294769824048E-2</v>
      </c>
      <c r="J168" t="str">
        <f>_xlfn.XLOOKUP(Engagement_Summary[[#This Row],[Week_Start_Date]],Task1!C:C,Task1!M:M,"NA",-1)</f>
        <v>ModelYCampaign</v>
      </c>
    </row>
    <row r="169" spans="1:10" x14ac:dyDescent="0.3">
      <c r="A169" s="1">
        <v>45733</v>
      </c>
      <c r="B169" t="s">
        <v>33</v>
      </c>
      <c r="C169">
        <v>1596</v>
      </c>
      <c r="D169">
        <v>211</v>
      </c>
      <c r="E169">
        <v>17380</v>
      </c>
      <c r="F169">
        <v>8.64</v>
      </c>
      <c r="G169">
        <v>35801</v>
      </c>
      <c r="H169" s="7">
        <f>Engagement_Summary[[#This Row],[New_Followers]]-Engagement_Summary[[#This Row],[Unfollows]]</f>
        <v>1385</v>
      </c>
      <c r="I169" s="9">
        <f>Engagement_Summary[[#This Row],[Net Growth Followers]]/Engagement_Summary[[#This Row],[Total_Followers]]</f>
        <v>7.9689298043728429E-2</v>
      </c>
      <c r="J169" t="str">
        <f>_xlfn.XLOOKUP(Engagement_Summary[[#This Row],[Week_Start_Date]],Task1!C:C,Task1!M:M,"NA",-1)</f>
        <v>ModelYCampaign</v>
      </c>
    </row>
    <row r="170" spans="1:10" x14ac:dyDescent="0.3">
      <c r="A170" s="1">
        <v>45740</v>
      </c>
      <c r="B170" t="s">
        <v>30</v>
      </c>
      <c r="C170">
        <v>490</v>
      </c>
      <c r="D170">
        <v>29</v>
      </c>
      <c r="E170">
        <v>364810</v>
      </c>
      <c r="F170">
        <v>1.53</v>
      </c>
      <c r="G170">
        <v>49077</v>
      </c>
      <c r="H170" s="7">
        <f>Engagement_Summary[[#This Row],[New_Followers]]-Engagement_Summary[[#This Row],[Unfollows]]</f>
        <v>461</v>
      </c>
      <c r="I170" s="9">
        <f>Engagement_Summary[[#This Row],[Net Growth Followers]]/Engagement_Summary[[#This Row],[Total_Followers]]</f>
        <v>1.2636715002329981E-3</v>
      </c>
      <c r="J170" t="str">
        <f>_xlfn.XLOOKUP(Engagement_Summary[[#This Row],[Week_Start_Date]],Task1!C:C,Task1!M:M,"NA",-1)</f>
        <v>SustainabilityDrive</v>
      </c>
    </row>
    <row r="171" spans="1:10" x14ac:dyDescent="0.3">
      <c r="A171" s="1">
        <v>45740</v>
      </c>
      <c r="B171" t="s">
        <v>31</v>
      </c>
      <c r="C171">
        <v>609</v>
      </c>
      <c r="D171">
        <v>135</v>
      </c>
      <c r="E171">
        <v>373606</v>
      </c>
      <c r="F171">
        <v>8.52</v>
      </c>
      <c r="G171">
        <v>21453</v>
      </c>
      <c r="H171" s="7">
        <f>Engagement_Summary[[#This Row],[New_Followers]]-Engagement_Summary[[#This Row],[Unfollows]]</f>
        <v>474</v>
      </c>
      <c r="I171" s="9">
        <f>Engagement_Summary[[#This Row],[Net Growth Followers]]/Engagement_Summary[[#This Row],[Total_Followers]]</f>
        <v>1.268716241173857E-3</v>
      </c>
      <c r="J171" t="str">
        <f>_xlfn.XLOOKUP(Engagement_Summary[[#This Row],[Week_Start_Date]],Task1!C:C,Task1!M:M,"NA",-1)</f>
        <v>SustainabilityDrive</v>
      </c>
    </row>
    <row r="172" spans="1:10" x14ac:dyDescent="0.3">
      <c r="A172" s="1">
        <v>45740</v>
      </c>
      <c r="B172" t="s">
        <v>32</v>
      </c>
      <c r="C172">
        <v>364</v>
      </c>
      <c r="D172">
        <v>72</v>
      </c>
      <c r="E172">
        <v>211090</v>
      </c>
      <c r="F172">
        <v>5.53</v>
      </c>
      <c r="G172">
        <v>21061</v>
      </c>
      <c r="H172" s="7">
        <f>Engagement_Summary[[#This Row],[New_Followers]]-Engagement_Summary[[#This Row],[Unfollows]]</f>
        <v>292</v>
      </c>
      <c r="I172" s="9">
        <f>Engagement_Summary[[#This Row],[Net Growth Followers]]/Engagement_Summary[[#This Row],[Total_Followers]]</f>
        <v>1.3832962243592781E-3</v>
      </c>
      <c r="J172" t="str">
        <f>_xlfn.XLOOKUP(Engagement_Summary[[#This Row],[Week_Start_Date]],Task1!C:C,Task1!M:M,"NA",-1)</f>
        <v>SustainabilityDrive</v>
      </c>
    </row>
    <row r="173" spans="1:10" x14ac:dyDescent="0.3">
      <c r="A173" s="1">
        <v>45740</v>
      </c>
      <c r="B173" t="s">
        <v>33</v>
      </c>
      <c r="C173">
        <v>442</v>
      </c>
      <c r="D173">
        <v>53</v>
      </c>
      <c r="E173">
        <v>441931</v>
      </c>
      <c r="F173">
        <v>1.87</v>
      </c>
      <c r="G173">
        <v>20059</v>
      </c>
      <c r="H173" s="7">
        <f>Engagement_Summary[[#This Row],[New_Followers]]-Engagement_Summary[[#This Row],[Unfollows]]</f>
        <v>389</v>
      </c>
      <c r="I173" s="9">
        <f>Engagement_Summary[[#This Row],[Net Growth Followers]]/Engagement_Summary[[#This Row],[Total_Followers]]</f>
        <v>8.8022790888170322E-4</v>
      </c>
      <c r="J173" t="str">
        <f>_xlfn.XLOOKUP(Engagement_Summary[[#This Row],[Week_Start_Date]],Task1!C:C,Task1!M:M,"NA",-1)</f>
        <v>SustainabilityDrive</v>
      </c>
    </row>
    <row r="174" spans="1:10" x14ac:dyDescent="0.3">
      <c r="A174" s="1">
        <v>45747</v>
      </c>
      <c r="B174" t="s">
        <v>30</v>
      </c>
      <c r="C174">
        <v>1033</v>
      </c>
      <c r="D174">
        <v>392</v>
      </c>
      <c r="E174">
        <v>282780</v>
      </c>
      <c r="F174">
        <v>6.27</v>
      </c>
      <c r="G174">
        <v>23140</v>
      </c>
      <c r="H174" s="7">
        <f>Engagement_Summary[[#This Row],[New_Followers]]-Engagement_Summary[[#This Row],[Unfollows]]</f>
        <v>641</v>
      </c>
      <c r="I174" s="9">
        <f>Engagement_Summary[[#This Row],[Net Growth Followers]]/Engagement_Summary[[#This Row],[Total_Followers]]</f>
        <v>2.2667798288422093E-3</v>
      </c>
      <c r="J174" t="str">
        <f>_xlfn.XLOOKUP(Engagement_Summary[[#This Row],[Week_Start_Date]],Task1!C:C,Task1!M:M,"NA",-1)</f>
        <v>FSDUpdate</v>
      </c>
    </row>
    <row r="175" spans="1:10" x14ac:dyDescent="0.3">
      <c r="A175" s="1">
        <v>45747</v>
      </c>
      <c r="B175" t="s">
        <v>31</v>
      </c>
      <c r="C175">
        <v>988</v>
      </c>
      <c r="D175">
        <v>474</v>
      </c>
      <c r="E175">
        <v>370070</v>
      </c>
      <c r="F175">
        <v>9.4600000000000009</v>
      </c>
      <c r="G175">
        <v>23461</v>
      </c>
      <c r="H175" s="7">
        <f>Engagement_Summary[[#This Row],[New_Followers]]-Engagement_Summary[[#This Row],[Unfollows]]</f>
        <v>514</v>
      </c>
      <c r="I175" s="9">
        <f>Engagement_Summary[[#This Row],[Net Growth Followers]]/Engagement_Summary[[#This Row],[Total_Followers]]</f>
        <v>1.3889264193260734E-3</v>
      </c>
      <c r="J175" t="str">
        <f>_xlfn.XLOOKUP(Engagement_Summary[[#This Row],[Week_Start_Date]],Task1!C:C,Task1!M:M,"NA",-1)</f>
        <v>FSDUpdate</v>
      </c>
    </row>
    <row r="176" spans="1:10" x14ac:dyDescent="0.3">
      <c r="A176" s="1">
        <v>45747</v>
      </c>
      <c r="B176" t="s">
        <v>32</v>
      </c>
      <c r="C176">
        <v>1946</v>
      </c>
      <c r="D176">
        <v>270</v>
      </c>
      <c r="E176">
        <v>198350</v>
      </c>
      <c r="F176">
        <v>7.5</v>
      </c>
      <c r="G176">
        <v>11805</v>
      </c>
      <c r="H176" s="7">
        <f>Engagement_Summary[[#This Row],[New_Followers]]-Engagement_Summary[[#This Row],[Unfollows]]</f>
        <v>1676</v>
      </c>
      <c r="I176" s="9">
        <f>Engagement_Summary[[#This Row],[Net Growth Followers]]/Engagement_Summary[[#This Row],[Total_Followers]]</f>
        <v>8.4497101083942528E-3</v>
      </c>
      <c r="J176" t="str">
        <f>_xlfn.XLOOKUP(Engagement_Summary[[#This Row],[Week_Start_Date]],Task1!C:C,Task1!M:M,"NA",-1)</f>
        <v>FSDUpdate</v>
      </c>
    </row>
    <row r="177" spans="1:10" x14ac:dyDescent="0.3">
      <c r="A177" s="1">
        <v>45747</v>
      </c>
      <c r="B177" t="s">
        <v>33</v>
      </c>
      <c r="C177">
        <v>1957</v>
      </c>
      <c r="D177">
        <v>490</v>
      </c>
      <c r="E177">
        <v>435726</v>
      </c>
      <c r="F177">
        <v>4.7300000000000004</v>
      </c>
      <c r="G177">
        <v>15969</v>
      </c>
      <c r="H177" s="7">
        <f>Engagement_Summary[[#This Row],[New_Followers]]-Engagement_Summary[[#This Row],[Unfollows]]</f>
        <v>1467</v>
      </c>
      <c r="I177" s="9">
        <f>Engagement_Summary[[#This Row],[Net Growth Followers]]/Engagement_Summary[[#This Row],[Total_Followers]]</f>
        <v>3.3667947287974553E-3</v>
      </c>
      <c r="J177" t="str">
        <f>_xlfn.XLOOKUP(Engagement_Summary[[#This Row],[Week_Start_Date]],Task1!C:C,Task1!M:M,"NA",-1)</f>
        <v>FSDUpdate</v>
      </c>
    </row>
    <row r="178" spans="1:10" x14ac:dyDescent="0.3">
      <c r="A178" s="1">
        <v>45754</v>
      </c>
      <c r="B178" t="s">
        <v>30</v>
      </c>
      <c r="C178">
        <v>559</v>
      </c>
      <c r="D178">
        <v>392</v>
      </c>
      <c r="E178">
        <v>78789</v>
      </c>
      <c r="F178">
        <v>3.19</v>
      </c>
      <c r="G178">
        <v>2436</v>
      </c>
      <c r="H178" s="7">
        <f>Engagement_Summary[[#This Row],[New_Followers]]-Engagement_Summary[[#This Row],[Unfollows]]</f>
        <v>167</v>
      </c>
      <c r="I178" s="9">
        <f>Engagement_Summary[[#This Row],[Net Growth Followers]]/Engagement_Summary[[#This Row],[Total_Followers]]</f>
        <v>2.1195852212872357E-3</v>
      </c>
      <c r="J178" t="str">
        <f>_xlfn.XLOOKUP(Engagement_Summary[[#This Row],[Week_Start_Date]],Task1!C:C,Task1!M:M,"NA",-1)</f>
        <v>ModelYCampaign</v>
      </c>
    </row>
    <row r="179" spans="1:10" x14ac:dyDescent="0.3">
      <c r="A179" s="1">
        <v>45754</v>
      </c>
      <c r="B179" t="s">
        <v>31</v>
      </c>
      <c r="C179">
        <v>1307</v>
      </c>
      <c r="D179">
        <v>278</v>
      </c>
      <c r="E179">
        <v>98596</v>
      </c>
      <c r="F179">
        <v>2.4900000000000002</v>
      </c>
      <c r="G179">
        <v>47603</v>
      </c>
      <c r="H179" s="7">
        <f>Engagement_Summary[[#This Row],[New_Followers]]-Engagement_Summary[[#This Row],[Unfollows]]</f>
        <v>1029</v>
      </c>
      <c r="I179" s="9">
        <f>Engagement_Summary[[#This Row],[Net Growth Followers]]/Engagement_Summary[[#This Row],[Total_Followers]]</f>
        <v>1.0436528865268368E-2</v>
      </c>
      <c r="J179" t="str">
        <f>_xlfn.XLOOKUP(Engagement_Summary[[#This Row],[Week_Start_Date]],Task1!C:C,Task1!M:M,"NA",-1)</f>
        <v>ModelYCampaign</v>
      </c>
    </row>
    <row r="180" spans="1:10" x14ac:dyDescent="0.3">
      <c r="A180" s="1">
        <v>45754</v>
      </c>
      <c r="B180" t="s">
        <v>32</v>
      </c>
      <c r="C180">
        <v>1432</v>
      </c>
      <c r="D180">
        <v>425</v>
      </c>
      <c r="E180">
        <v>29589</v>
      </c>
      <c r="F180">
        <v>4.5</v>
      </c>
      <c r="G180">
        <v>42964</v>
      </c>
      <c r="H180" s="7">
        <f>Engagement_Summary[[#This Row],[New_Followers]]-Engagement_Summary[[#This Row],[Unfollows]]</f>
        <v>1007</v>
      </c>
      <c r="I180" s="9">
        <f>Engagement_Summary[[#This Row],[Net Growth Followers]]/Engagement_Summary[[#This Row],[Total_Followers]]</f>
        <v>3.4032917638311531E-2</v>
      </c>
      <c r="J180" t="str">
        <f>_xlfn.XLOOKUP(Engagement_Summary[[#This Row],[Week_Start_Date]],Task1!C:C,Task1!M:M,"NA",-1)</f>
        <v>ModelYCampaign</v>
      </c>
    </row>
    <row r="181" spans="1:10" x14ac:dyDescent="0.3">
      <c r="A181" s="1">
        <v>45754</v>
      </c>
      <c r="B181" t="s">
        <v>33</v>
      </c>
      <c r="C181">
        <v>623</v>
      </c>
      <c r="D181">
        <v>414</v>
      </c>
      <c r="E181">
        <v>290354</v>
      </c>
      <c r="F181">
        <v>6.49</v>
      </c>
      <c r="G181">
        <v>39923</v>
      </c>
      <c r="H181" s="7">
        <f>Engagement_Summary[[#This Row],[New_Followers]]-Engagement_Summary[[#This Row],[Unfollows]]</f>
        <v>209</v>
      </c>
      <c r="I181" s="9">
        <f>Engagement_Summary[[#This Row],[Net Growth Followers]]/Engagement_Summary[[#This Row],[Total_Followers]]</f>
        <v>7.1981098934404211E-4</v>
      </c>
      <c r="J181" t="str">
        <f>_xlfn.XLOOKUP(Engagement_Summary[[#This Row],[Week_Start_Date]],Task1!C:C,Task1!M:M,"NA",-1)</f>
        <v>ModelYCampaign</v>
      </c>
    </row>
    <row r="182" spans="1:10" x14ac:dyDescent="0.3">
      <c r="A182" s="1">
        <v>45761</v>
      </c>
      <c r="B182" t="s">
        <v>30</v>
      </c>
      <c r="C182">
        <v>198</v>
      </c>
      <c r="D182">
        <v>358</v>
      </c>
      <c r="E182">
        <v>66682</v>
      </c>
      <c r="F182">
        <v>6.73</v>
      </c>
      <c r="G182">
        <v>2293</v>
      </c>
      <c r="H182" s="7">
        <f>Engagement_Summary[[#This Row],[New_Followers]]-Engagement_Summary[[#This Row],[Unfollows]]</f>
        <v>-160</v>
      </c>
      <c r="I182" s="9">
        <f>Engagement_Summary[[#This Row],[Net Growth Followers]]/Engagement_Summary[[#This Row],[Total_Followers]]</f>
        <v>-2.3994481269308059E-3</v>
      </c>
      <c r="J182" t="str">
        <f>_xlfn.XLOOKUP(Engagement_Summary[[#This Row],[Week_Start_Date]],Task1!C:C,Task1!M:M,"NA",-1)</f>
        <v>CybertruckLaunch</v>
      </c>
    </row>
    <row r="183" spans="1:10" x14ac:dyDescent="0.3">
      <c r="A183" s="1">
        <v>45761</v>
      </c>
      <c r="B183" t="s">
        <v>31</v>
      </c>
      <c r="C183">
        <v>198</v>
      </c>
      <c r="D183">
        <v>373</v>
      </c>
      <c r="E183">
        <v>70707</v>
      </c>
      <c r="F183">
        <v>4.83</v>
      </c>
      <c r="G183">
        <v>25920</v>
      </c>
      <c r="H183" s="7">
        <f>Engagement_Summary[[#This Row],[New_Followers]]-Engagement_Summary[[#This Row],[Unfollows]]</f>
        <v>-175</v>
      </c>
      <c r="I183" s="9">
        <f>Engagement_Summary[[#This Row],[Net Growth Followers]]/Engagement_Summary[[#This Row],[Total_Followers]]</f>
        <v>-2.4750024750024749E-3</v>
      </c>
      <c r="J183" t="str">
        <f>_xlfn.XLOOKUP(Engagement_Summary[[#This Row],[Week_Start_Date]],Task1!C:C,Task1!M:M,"NA",-1)</f>
        <v>CybertruckLaunch</v>
      </c>
    </row>
    <row r="184" spans="1:10" x14ac:dyDescent="0.3">
      <c r="A184" s="1">
        <v>45761</v>
      </c>
      <c r="B184" t="s">
        <v>32</v>
      </c>
      <c r="C184">
        <v>353</v>
      </c>
      <c r="D184">
        <v>300</v>
      </c>
      <c r="E184">
        <v>142507</v>
      </c>
      <c r="F184">
        <v>5.3</v>
      </c>
      <c r="G184">
        <v>11035</v>
      </c>
      <c r="H184" s="7">
        <f>Engagement_Summary[[#This Row],[New_Followers]]-Engagement_Summary[[#This Row],[Unfollows]]</f>
        <v>53</v>
      </c>
      <c r="I184" s="9">
        <f>Engagement_Summary[[#This Row],[Net Growth Followers]]/Engagement_Summary[[#This Row],[Total_Followers]]</f>
        <v>3.7191155522184875E-4</v>
      </c>
      <c r="J184" t="str">
        <f>_xlfn.XLOOKUP(Engagement_Summary[[#This Row],[Week_Start_Date]],Task1!C:C,Task1!M:M,"NA",-1)</f>
        <v>CybertruckLaunch</v>
      </c>
    </row>
    <row r="185" spans="1:10" x14ac:dyDescent="0.3">
      <c r="A185" s="1">
        <v>45761</v>
      </c>
      <c r="B185" t="s">
        <v>33</v>
      </c>
      <c r="C185">
        <v>520</v>
      </c>
      <c r="D185">
        <v>375</v>
      </c>
      <c r="E185">
        <v>369525</v>
      </c>
      <c r="F185">
        <v>6.54</v>
      </c>
      <c r="G185">
        <v>20733</v>
      </c>
      <c r="H185" s="7">
        <f>Engagement_Summary[[#This Row],[New_Followers]]-Engagement_Summary[[#This Row],[Unfollows]]</f>
        <v>145</v>
      </c>
      <c r="I185" s="9">
        <f>Engagement_Summary[[#This Row],[Net Growth Followers]]/Engagement_Summary[[#This Row],[Total_Followers]]</f>
        <v>3.9239564305527366E-4</v>
      </c>
      <c r="J185" t="str">
        <f>_xlfn.XLOOKUP(Engagement_Summary[[#This Row],[Week_Start_Date]],Task1!C:C,Task1!M:M,"NA",-1)</f>
        <v>CybertruckLaunch</v>
      </c>
    </row>
    <row r="186" spans="1:10" x14ac:dyDescent="0.3">
      <c r="A186" s="1">
        <v>45768</v>
      </c>
      <c r="B186" t="s">
        <v>30</v>
      </c>
      <c r="C186">
        <v>961</v>
      </c>
      <c r="D186">
        <v>358</v>
      </c>
      <c r="E186">
        <v>62942</v>
      </c>
      <c r="F186">
        <v>6.8</v>
      </c>
      <c r="G186">
        <v>18693</v>
      </c>
      <c r="H186" s="7">
        <f>Engagement_Summary[[#This Row],[New_Followers]]-Engagement_Summary[[#This Row],[Unfollows]]</f>
        <v>603</v>
      </c>
      <c r="I186" s="9">
        <f>Engagement_Summary[[#This Row],[Net Growth Followers]]/Engagement_Summary[[#This Row],[Total_Followers]]</f>
        <v>9.5802484827301332E-3</v>
      </c>
      <c r="J186" t="str">
        <f>_xlfn.XLOOKUP(Engagement_Summary[[#This Row],[Week_Start_Date]],Task1!C:C,Task1!M:M,"NA",-1)</f>
        <v>ModelYCampaign</v>
      </c>
    </row>
    <row r="187" spans="1:10" x14ac:dyDescent="0.3">
      <c r="A187" s="1">
        <v>45768</v>
      </c>
      <c r="B187" t="s">
        <v>31</v>
      </c>
      <c r="C187">
        <v>1375</v>
      </c>
      <c r="D187">
        <v>330</v>
      </c>
      <c r="E187">
        <v>377382</v>
      </c>
      <c r="F187">
        <v>2.6</v>
      </c>
      <c r="G187">
        <v>7875</v>
      </c>
      <c r="H187" s="7">
        <f>Engagement_Summary[[#This Row],[New_Followers]]-Engagement_Summary[[#This Row],[Unfollows]]</f>
        <v>1045</v>
      </c>
      <c r="I187" s="9">
        <f>Engagement_Summary[[#This Row],[Net Growth Followers]]/Engagement_Summary[[#This Row],[Total_Followers]]</f>
        <v>2.7690774864725927E-3</v>
      </c>
      <c r="J187" t="str">
        <f>_xlfn.XLOOKUP(Engagement_Summary[[#This Row],[Week_Start_Date]],Task1!C:C,Task1!M:M,"NA",-1)</f>
        <v>ModelYCampaign</v>
      </c>
    </row>
    <row r="188" spans="1:10" x14ac:dyDescent="0.3">
      <c r="A188" s="1">
        <v>45768</v>
      </c>
      <c r="B188" t="s">
        <v>32</v>
      </c>
      <c r="C188">
        <v>1147</v>
      </c>
      <c r="D188">
        <v>388</v>
      </c>
      <c r="E188">
        <v>333851</v>
      </c>
      <c r="F188">
        <v>2.44</v>
      </c>
      <c r="G188">
        <v>8471</v>
      </c>
      <c r="H188" s="7">
        <f>Engagement_Summary[[#This Row],[New_Followers]]-Engagement_Summary[[#This Row],[Unfollows]]</f>
        <v>759</v>
      </c>
      <c r="I188" s="9">
        <f>Engagement_Summary[[#This Row],[Net Growth Followers]]/Engagement_Summary[[#This Row],[Total_Followers]]</f>
        <v>2.2734693021737242E-3</v>
      </c>
      <c r="J188" t="str">
        <f>_xlfn.XLOOKUP(Engagement_Summary[[#This Row],[Week_Start_Date]],Task1!C:C,Task1!M:M,"NA",-1)</f>
        <v>ModelYCampaign</v>
      </c>
    </row>
    <row r="189" spans="1:10" x14ac:dyDescent="0.3">
      <c r="A189" s="1">
        <v>45768</v>
      </c>
      <c r="B189" t="s">
        <v>33</v>
      </c>
      <c r="C189">
        <v>1707</v>
      </c>
      <c r="D189">
        <v>74</v>
      </c>
      <c r="E189">
        <v>270958</v>
      </c>
      <c r="F189">
        <v>3.09</v>
      </c>
      <c r="G189">
        <v>14090</v>
      </c>
      <c r="H189" s="7">
        <f>Engagement_Summary[[#This Row],[New_Followers]]-Engagement_Summary[[#This Row],[Unfollows]]</f>
        <v>1633</v>
      </c>
      <c r="I189" s="9">
        <f>Engagement_Summary[[#This Row],[Net Growth Followers]]/Engagement_Summary[[#This Row],[Total_Followers]]</f>
        <v>6.0267642955734836E-3</v>
      </c>
      <c r="J189" t="str">
        <f>_xlfn.XLOOKUP(Engagement_Summary[[#This Row],[Week_Start_Date]],Task1!C:C,Task1!M:M,"NA",-1)</f>
        <v>ModelYCampaign</v>
      </c>
    </row>
    <row r="190" spans="1:10" x14ac:dyDescent="0.3">
      <c r="A190" s="1">
        <v>45775</v>
      </c>
      <c r="B190" t="s">
        <v>30</v>
      </c>
      <c r="C190">
        <v>1693</v>
      </c>
      <c r="D190">
        <v>154</v>
      </c>
      <c r="E190">
        <v>445944</v>
      </c>
      <c r="F190">
        <v>5.69</v>
      </c>
      <c r="G190">
        <v>14216</v>
      </c>
      <c r="H190" s="7">
        <f>Engagement_Summary[[#This Row],[New_Followers]]-Engagement_Summary[[#This Row],[Unfollows]]</f>
        <v>1539</v>
      </c>
      <c r="I190" s="9">
        <f>Engagement_Summary[[#This Row],[Net Growth Followers]]/Engagement_Summary[[#This Row],[Total_Followers]]</f>
        <v>3.4511059684624078E-3</v>
      </c>
      <c r="J190" t="str">
        <f>_xlfn.XLOOKUP(Engagement_Summary[[#This Row],[Week_Start_Date]],Task1!C:C,Task1!M:M,"NA",-1)</f>
        <v>FSDUpdate</v>
      </c>
    </row>
    <row r="191" spans="1:10" x14ac:dyDescent="0.3">
      <c r="A191" s="1">
        <v>45775</v>
      </c>
      <c r="B191" t="s">
        <v>31</v>
      </c>
      <c r="C191">
        <v>833</v>
      </c>
      <c r="D191">
        <v>380</v>
      </c>
      <c r="E191">
        <v>224830</v>
      </c>
      <c r="F191">
        <v>3.86</v>
      </c>
      <c r="G191">
        <v>3582</v>
      </c>
      <c r="H191" s="7">
        <f>Engagement_Summary[[#This Row],[New_Followers]]-Engagement_Summary[[#This Row],[Unfollows]]</f>
        <v>453</v>
      </c>
      <c r="I191" s="9">
        <f>Engagement_Summary[[#This Row],[Net Growth Followers]]/Engagement_Summary[[#This Row],[Total_Followers]]</f>
        <v>2.014855668727483E-3</v>
      </c>
      <c r="J191" t="str">
        <f>_xlfn.XLOOKUP(Engagement_Summary[[#This Row],[Week_Start_Date]],Task1!C:C,Task1!M:M,"NA",-1)</f>
        <v>FSDUpdate</v>
      </c>
    </row>
    <row r="192" spans="1:10" x14ac:dyDescent="0.3">
      <c r="A192" s="1">
        <v>45775</v>
      </c>
      <c r="B192" t="s">
        <v>32</v>
      </c>
      <c r="C192">
        <v>1222</v>
      </c>
      <c r="D192">
        <v>274</v>
      </c>
      <c r="E192">
        <v>487289</v>
      </c>
      <c r="F192">
        <v>3.16</v>
      </c>
      <c r="G192">
        <v>32500</v>
      </c>
      <c r="H192" s="7">
        <f>Engagement_Summary[[#This Row],[New_Followers]]-Engagement_Summary[[#This Row],[Unfollows]]</f>
        <v>948</v>
      </c>
      <c r="I192" s="9">
        <f>Engagement_Summary[[#This Row],[Net Growth Followers]]/Engagement_Summary[[#This Row],[Total_Followers]]</f>
        <v>1.9454574184929272E-3</v>
      </c>
      <c r="J192" t="str">
        <f>_xlfn.XLOOKUP(Engagement_Summary[[#This Row],[Week_Start_Date]],Task1!C:C,Task1!M:M,"NA",-1)</f>
        <v>FSDUpdate</v>
      </c>
    </row>
    <row r="193" spans="1:10" x14ac:dyDescent="0.3">
      <c r="A193" s="1">
        <v>45775</v>
      </c>
      <c r="B193" t="s">
        <v>33</v>
      </c>
      <c r="C193">
        <v>777</v>
      </c>
      <c r="D193">
        <v>140</v>
      </c>
      <c r="E193">
        <v>11435</v>
      </c>
      <c r="F193">
        <v>1.6</v>
      </c>
      <c r="G193">
        <v>6832</v>
      </c>
      <c r="H193" s="7">
        <f>Engagement_Summary[[#This Row],[New_Followers]]-Engagement_Summary[[#This Row],[Unfollows]]</f>
        <v>637</v>
      </c>
      <c r="I193" s="9">
        <f>Engagement_Summary[[#This Row],[Net Growth Followers]]/Engagement_Summary[[#This Row],[Total_Followers]]</f>
        <v>5.5706165282028861E-2</v>
      </c>
      <c r="J193" t="str">
        <f>_xlfn.XLOOKUP(Engagement_Summary[[#This Row],[Week_Start_Date]],Task1!C:C,Task1!M:M,"NA",-1)</f>
        <v>FSDUpdate</v>
      </c>
    </row>
    <row r="194" spans="1:10" x14ac:dyDescent="0.3">
      <c r="A194" s="1">
        <v>45782</v>
      </c>
      <c r="B194" t="s">
        <v>30</v>
      </c>
      <c r="C194">
        <v>1957</v>
      </c>
      <c r="D194">
        <v>76</v>
      </c>
      <c r="E194">
        <v>447902</v>
      </c>
      <c r="F194">
        <v>6.09</v>
      </c>
      <c r="G194">
        <v>33381</v>
      </c>
      <c r="H194" s="7">
        <f>Engagement_Summary[[#This Row],[New_Followers]]-Engagement_Summary[[#This Row],[Unfollows]]</f>
        <v>1881</v>
      </c>
      <c r="I194" s="9">
        <f>Engagement_Summary[[#This Row],[Net Growth Followers]]/Engagement_Summary[[#This Row],[Total_Followers]]</f>
        <v>4.1995793722733989E-3</v>
      </c>
      <c r="J194" t="str">
        <f>_xlfn.XLOOKUP(Engagement_Summary[[#This Row],[Week_Start_Date]],Task1!C:C,Task1!M:M,"NA",-1)</f>
        <v>SustainabilityDrive</v>
      </c>
    </row>
    <row r="195" spans="1:10" x14ac:dyDescent="0.3">
      <c r="A195" s="1">
        <v>45782</v>
      </c>
      <c r="B195" t="s">
        <v>31</v>
      </c>
      <c r="C195">
        <v>405</v>
      </c>
      <c r="D195">
        <v>66</v>
      </c>
      <c r="E195">
        <v>418696</v>
      </c>
      <c r="F195">
        <v>5.59</v>
      </c>
      <c r="G195">
        <v>48419</v>
      </c>
      <c r="H195" s="7">
        <f>Engagement_Summary[[#This Row],[New_Followers]]-Engagement_Summary[[#This Row],[Unfollows]]</f>
        <v>339</v>
      </c>
      <c r="I195" s="9">
        <f>Engagement_Summary[[#This Row],[Net Growth Followers]]/Engagement_Summary[[#This Row],[Total_Followers]]</f>
        <v>8.0965664826031301E-4</v>
      </c>
      <c r="J195" t="str">
        <f>_xlfn.XLOOKUP(Engagement_Summary[[#This Row],[Week_Start_Date]],Task1!C:C,Task1!M:M,"NA",-1)</f>
        <v>SustainabilityDrive</v>
      </c>
    </row>
    <row r="196" spans="1:10" x14ac:dyDescent="0.3">
      <c r="A196" s="1">
        <v>45782</v>
      </c>
      <c r="B196" t="s">
        <v>32</v>
      </c>
      <c r="C196">
        <v>1581</v>
      </c>
      <c r="D196">
        <v>71</v>
      </c>
      <c r="E196">
        <v>484364</v>
      </c>
      <c r="F196">
        <v>3.55</v>
      </c>
      <c r="G196">
        <v>16149</v>
      </c>
      <c r="H196" s="7">
        <f>Engagement_Summary[[#This Row],[New_Followers]]-Engagement_Summary[[#This Row],[Unfollows]]</f>
        <v>1510</v>
      </c>
      <c r="I196" s="9">
        <f>Engagement_Summary[[#This Row],[Net Growth Followers]]/Engagement_Summary[[#This Row],[Total_Followers]]</f>
        <v>3.1174901520344203E-3</v>
      </c>
      <c r="J196" t="str">
        <f>_xlfn.XLOOKUP(Engagement_Summary[[#This Row],[Week_Start_Date]],Task1!C:C,Task1!M:M,"NA",-1)</f>
        <v>SustainabilityDrive</v>
      </c>
    </row>
    <row r="197" spans="1:10" x14ac:dyDescent="0.3">
      <c r="A197" s="1">
        <v>45782</v>
      </c>
      <c r="B197" t="s">
        <v>33</v>
      </c>
      <c r="C197">
        <v>1035</v>
      </c>
      <c r="D197">
        <v>171</v>
      </c>
      <c r="E197">
        <v>148477</v>
      </c>
      <c r="F197">
        <v>5.21</v>
      </c>
      <c r="G197">
        <v>7541</v>
      </c>
      <c r="H197" s="7">
        <f>Engagement_Summary[[#This Row],[New_Followers]]-Engagement_Summary[[#This Row],[Unfollows]]</f>
        <v>864</v>
      </c>
      <c r="I197" s="9">
        <f>Engagement_Summary[[#This Row],[Net Growth Followers]]/Engagement_Summary[[#This Row],[Total_Followers]]</f>
        <v>5.8190830903102836E-3</v>
      </c>
      <c r="J197" t="str">
        <f>_xlfn.XLOOKUP(Engagement_Summary[[#This Row],[Week_Start_Date]],Task1!C:C,Task1!M:M,"NA",-1)</f>
        <v>SustainabilityDrive</v>
      </c>
    </row>
    <row r="198" spans="1:10" x14ac:dyDescent="0.3">
      <c r="A198" s="1">
        <v>45789</v>
      </c>
      <c r="B198" t="s">
        <v>30</v>
      </c>
      <c r="C198">
        <v>1765</v>
      </c>
      <c r="D198">
        <v>109</v>
      </c>
      <c r="E198">
        <v>468301</v>
      </c>
      <c r="F198">
        <v>1.82</v>
      </c>
      <c r="G198">
        <v>20042</v>
      </c>
      <c r="H198" s="7">
        <f>Engagement_Summary[[#This Row],[New_Followers]]-Engagement_Summary[[#This Row],[Unfollows]]</f>
        <v>1656</v>
      </c>
      <c r="I198" s="9">
        <f>Engagement_Summary[[#This Row],[Net Growth Followers]]/Engagement_Summary[[#This Row],[Total_Followers]]</f>
        <v>3.5361871958419907E-3</v>
      </c>
      <c r="J198" t="str">
        <f>_xlfn.XLOOKUP(Engagement_Summary[[#This Row],[Week_Start_Date]],Task1!C:C,Task1!M:M,"NA",-1)</f>
        <v>FSDUpdate</v>
      </c>
    </row>
    <row r="199" spans="1:10" x14ac:dyDescent="0.3">
      <c r="A199" s="1">
        <v>45789</v>
      </c>
      <c r="B199" t="s">
        <v>31</v>
      </c>
      <c r="C199">
        <v>837</v>
      </c>
      <c r="D199">
        <v>430</v>
      </c>
      <c r="E199">
        <v>364820</v>
      </c>
      <c r="F199">
        <v>4</v>
      </c>
      <c r="G199">
        <v>49400</v>
      </c>
      <c r="H199" s="7">
        <f>Engagement_Summary[[#This Row],[New_Followers]]-Engagement_Summary[[#This Row],[Unfollows]]</f>
        <v>407</v>
      </c>
      <c r="I199" s="9">
        <f>Engagement_Summary[[#This Row],[Net Growth Followers]]/Engagement_Summary[[#This Row],[Total_Followers]]</f>
        <v>1.1156186612576065E-3</v>
      </c>
      <c r="J199" t="str">
        <f>_xlfn.XLOOKUP(Engagement_Summary[[#This Row],[Week_Start_Date]],Task1!C:C,Task1!M:M,"NA",-1)</f>
        <v>FSDUpdate</v>
      </c>
    </row>
    <row r="200" spans="1:10" x14ac:dyDescent="0.3">
      <c r="A200" s="1">
        <v>45789</v>
      </c>
      <c r="B200" t="s">
        <v>32</v>
      </c>
      <c r="C200">
        <v>337</v>
      </c>
      <c r="D200">
        <v>68</v>
      </c>
      <c r="E200">
        <v>456298</v>
      </c>
      <c r="F200">
        <v>7.57</v>
      </c>
      <c r="G200">
        <v>4007</v>
      </c>
      <c r="H200" s="7">
        <f>Engagement_Summary[[#This Row],[New_Followers]]-Engagement_Summary[[#This Row],[Unfollows]]</f>
        <v>269</v>
      </c>
      <c r="I200" s="9">
        <f>Engagement_Summary[[#This Row],[Net Growth Followers]]/Engagement_Summary[[#This Row],[Total_Followers]]</f>
        <v>5.8952701962314107E-4</v>
      </c>
      <c r="J200" t="str">
        <f>_xlfn.XLOOKUP(Engagement_Summary[[#This Row],[Week_Start_Date]],Task1!C:C,Task1!M:M,"NA",-1)</f>
        <v>FSDUpdate</v>
      </c>
    </row>
    <row r="201" spans="1:10" x14ac:dyDescent="0.3">
      <c r="A201" s="1">
        <v>45789</v>
      </c>
      <c r="B201" t="s">
        <v>33</v>
      </c>
      <c r="C201">
        <v>119</v>
      </c>
      <c r="D201">
        <v>456</v>
      </c>
      <c r="E201">
        <v>82558</v>
      </c>
      <c r="F201">
        <v>6.81</v>
      </c>
      <c r="G201">
        <v>12174</v>
      </c>
      <c r="H201" s="7">
        <f>Engagement_Summary[[#This Row],[New_Followers]]-Engagement_Summary[[#This Row],[Unfollows]]</f>
        <v>-337</v>
      </c>
      <c r="I201" s="9">
        <f>Engagement_Summary[[#This Row],[Net Growth Followers]]/Engagement_Summary[[#This Row],[Total_Followers]]</f>
        <v>-4.0819787301048958E-3</v>
      </c>
      <c r="J201" t="str">
        <f>_xlfn.XLOOKUP(Engagement_Summary[[#This Row],[Week_Start_Date]],Task1!C:C,Task1!M:M,"NA",-1)</f>
        <v>FSDUpdate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6B3A0-5CB7-47E6-AFBC-950BF363C5CA}">
  <dimension ref="A1:G5"/>
  <sheetViews>
    <sheetView workbookViewId="0">
      <selection activeCell="E5" sqref="E5"/>
    </sheetView>
  </sheetViews>
  <sheetFormatPr defaultRowHeight="14.4" x14ac:dyDescent="0.3"/>
  <cols>
    <col min="1" max="1" width="17.77734375" bestFit="1" customWidth="1"/>
    <col min="2" max="2" width="12.109375" bestFit="1" customWidth="1"/>
    <col min="3" max="3" width="11.33203125" bestFit="1" customWidth="1"/>
    <col min="4" max="4" width="19.5546875" bestFit="1" customWidth="1"/>
    <col min="5" max="5" width="14.44140625" bestFit="1" customWidth="1"/>
    <col min="6" max="6" width="17.77734375" bestFit="1" customWidth="1"/>
    <col min="7" max="7" width="30.109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s="1">
        <v>45458</v>
      </c>
      <c r="C2" s="1">
        <v>45488</v>
      </c>
      <c r="D2" t="s">
        <v>8</v>
      </c>
      <c r="E2">
        <v>150000</v>
      </c>
      <c r="F2" t="s">
        <v>9</v>
      </c>
      <c r="G2" t="s">
        <v>10</v>
      </c>
    </row>
    <row r="3" spans="1:7" x14ac:dyDescent="0.3">
      <c r="A3" t="s">
        <v>11</v>
      </c>
      <c r="B3" s="1">
        <v>45566</v>
      </c>
      <c r="C3" s="1">
        <v>45596</v>
      </c>
      <c r="D3" t="s">
        <v>12</v>
      </c>
      <c r="E3">
        <v>200000</v>
      </c>
      <c r="F3" t="s">
        <v>13</v>
      </c>
      <c r="G3" t="s">
        <v>14</v>
      </c>
    </row>
    <row r="4" spans="1:7" x14ac:dyDescent="0.3">
      <c r="A4" t="s">
        <v>15</v>
      </c>
      <c r="B4" s="1">
        <v>45651</v>
      </c>
      <c r="C4" s="1">
        <v>45667</v>
      </c>
      <c r="D4" t="s">
        <v>16</v>
      </c>
      <c r="E4">
        <v>250000</v>
      </c>
      <c r="F4" t="s">
        <v>17</v>
      </c>
      <c r="G4" t="s">
        <v>18</v>
      </c>
    </row>
    <row r="5" spans="1:7" x14ac:dyDescent="0.3">
      <c r="A5" t="s">
        <v>19</v>
      </c>
      <c r="B5" s="1">
        <v>45717</v>
      </c>
      <c r="C5" s="1">
        <v>45747</v>
      </c>
      <c r="D5" t="s">
        <v>20</v>
      </c>
      <c r="E5">
        <v>180000</v>
      </c>
      <c r="F5" t="s">
        <v>21</v>
      </c>
      <c r="G5" t="s">
        <v>22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042DF-F5A8-4D68-820F-98DA353881F6}">
  <dimension ref="A1:R340"/>
  <sheetViews>
    <sheetView topLeftCell="B2" zoomScale="85" zoomScaleNormal="85" workbookViewId="0">
      <selection activeCell="G9" sqref="G9"/>
    </sheetView>
  </sheetViews>
  <sheetFormatPr defaultRowHeight="14.4" x14ac:dyDescent="0.3"/>
  <cols>
    <col min="1" max="1" width="9.77734375" bestFit="1" customWidth="1"/>
    <col min="2" max="2" width="11.33203125" bestFit="1" customWidth="1"/>
    <col min="3" max="3" width="10.5546875" style="1" bestFit="1" customWidth="1"/>
    <col min="4" max="4" width="15.5546875" bestFit="1" customWidth="1"/>
    <col min="5" max="5" width="38.6640625" bestFit="1" customWidth="1"/>
    <col min="6" max="6" width="7.77734375" bestFit="1" customWidth="1"/>
    <col min="7" max="7" width="9.44140625" bestFit="1" customWidth="1"/>
    <col min="8" max="8" width="12.88671875" bestFit="1" customWidth="1"/>
    <col min="9" max="9" width="14" bestFit="1" customWidth="1"/>
    <col min="10" max="10" width="8.88671875" bestFit="1" customWidth="1"/>
    <col min="11" max="11" width="8.33203125" bestFit="1" customWidth="1"/>
    <col min="12" max="12" width="20.6640625" bestFit="1" customWidth="1"/>
    <col min="13" max="13" width="18.6640625" bestFit="1" customWidth="1"/>
    <col min="14" max="14" width="19.33203125" bestFit="1" customWidth="1"/>
    <col min="15" max="15" width="14.6640625" bestFit="1" customWidth="1"/>
    <col min="16" max="16" width="12.109375" bestFit="1" customWidth="1"/>
    <col min="17" max="17" width="9.5546875" bestFit="1" customWidth="1"/>
    <col min="18" max="18" width="6.6640625" bestFit="1" customWidth="1"/>
  </cols>
  <sheetData>
    <row r="1" spans="1:18" x14ac:dyDescent="0.3">
      <c r="A1" t="s">
        <v>34</v>
      </c>
      <c r="B1" t="s">
        <v>24</v>
      </c>
      <c r="C1" s="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0</v>
      </c>
      <c r="N1" t="s">
        <v>381</v>
      </c>
      <c r="O1" t="s">
        <v>383</v>
      </c>
      <c r="P1" t="s">
        <v>390</v>
      </c>
      <c r="Q1" t="s">
        <v>429</v>
      </c>
      <c r="R1" t="s">
        <v>435</v>
      </c>
    </row>
    <row r="2" spans="1:18" x14ac:dyDescent="0.3">
      <c r="A2" t="s">
        <v>45</v>
      </c>
      <c r="B2" t="s">
        <v>32</v>
      </c>
      <c r="C2" s="1">
        <v>45649</v>
      </c>
      <c r="D2" t="s">
        <v>46</v>
      </c>
      <c r="E2" t="s">
        <v>47</v>
      </c>
      <c r="F2">
        <v>1461</v>
      </c>
      <c r="G2">
        <v>184</v>
      </c>
      <c r="H2">
        <v>344</v>
      </c>
      <c r="I2">
        <v>21915</v>
      </c>
      <c r="J2">
        <v>21675</v>
      </c>
      <c r="K2">
        <v>15</v>
      </c>
      <c r="L2" t="s">
        <v>48</v>
      </c>
      <c r="M2" t="s">
        <v>7</v>
      </c>
      <c r="N2" s="2">
        <f>(Posts__2[[#This Row],[Likes]]+Posts__2[[#This Row],[Shares]]+Posts__2[[#This Row],[Comments]])/Posts__2[[#This Row],[Impressions]]</f>
        <v>9.0759753593429152E-2</v>
      </c>
      <c r="O2" s="7">
        <f>Posts__2[[#This Row],[Likes]]+Posts__2[[#This Row],[Shares]]+Posts__2[[#This Row],[Comments]]</f>
        <v>1989</v>
      </c>
      <c r="P2" s="7">
        <f>_xlfn.XLOOKUP(Posts__2[[#This Row],[Platform]],'Engagement Summary'!B:B,'Engagement Summary'!G:G,"NA",0)</f>
        <v>26752</v>
      </c>
      <c r="Q2" t="str">
        <f>IFERROR(IF(C2 &lt; _xlfn.XLOOKUP(M2, 'Campaign Metadata'!A:A, 'Campaign Metadata'!B:B), "Before", "During"), "Not Found")</f>
        <v>During</v>
      </c>
      <c r="R2" s="13">
        <f>Posts__2[[#This Row],[Engagement]]/Posts__2[[#This Row],[Ad Spend]]</f>
        <v>7.4349581339712922E-2</v>
      </c>
    </row>
    <row r="3" spans="1:18" x14ac:dyDescent="0.3">
      <c r="A3" t="s">
        <v>45</v>
      </c>
      <c r="B3" t="s">
        <v>32</v>
      </c>
      <c r="C3" s="1">
        <v>45649</v>
      </c>
      <c r="D3" t="s">
        <v>46</v>
      </c>
      <c r="E3" t="s">
        <v>47</v>
      </c>
      <c r="F3">
        <v>1461</v>
      </c>
      <c r="G3">
        <v>184</v>
      </c>
      <c r="H3">
        <v>344</v>
      </c>
      <c r="I3">
        <v>21915</v>
      </c>
      <c r="J3">
        <v>21675</v>
      </c>
      <c r="K3">
        <v>15</v>
      </c>
      <c r="L3" t="s">
        <v>49</v>
      </c>
      <c r="M3" t="s">
        <v>7</v>
      </c>
      <c r="N3" s="2">
        <f>(Posts__2[[#This Row],[Likes]]+Posts__2[[#This Row],[Shares]]+Posts__2[[#This Row],[Comments]])/Posts__2[[#This Row],[Impressions]]</f>
        <v>9.0759753593429152E-2</v>
      </c>
      <c r="O3" s="7">
        <f>Posts__2[[#This Row],[Likes]]+Posts__2[[#This Row],[Shares]]+Posts__2[[#This Row],[Comments]]</f>
        <v>1989</v>
      </c>
      <c r="P3" s="7">
        <f>_xlfn.XLOOKUP(Posts__2[[#This Row],[Platform]],'Engagement Summary'!B:B,'Engagement Summary'!G:G,"NA",0)</f>
        <v>26752</v>
      </c>
      <c r="Q3" t="str">
        <f>IFERROR(IF(C3 &lt; _xlfn.XLOOKUP(M3, 'Campaign Metadata'!A:A, 'Campaign Metadata'!B:B), "Before", "During"), "Not Found")</f>
        <v>During</v>
      </c>
      <c r="R3" s="13">
        <f>Posts__2[[#This Row],[Engagement]]/Posts__2[[#This Row],[Ad Spend]]</f>
        <v>7.4349581339712922E-2</v>
      </c>
    </row>
    <row r="4" spans="1:18" x14ac:dyDescent="0.3">
      <c r="A4" t="s">
        <v>50</v>
      </c>
      <c r="B4" t="s">
        <v>32</v>
      </c>
      <c r="C4" s="1">
        <v>45750</v>
      </c>
      <c r="D4" t="s">
        <v>51</v>
      </c>
      <c r="E4" t="s">
        <v>52</v>
      </c>
      <c r="F4">
        <v>4054</v>
      </c>
      <c r="G4">
        <v>389</v>
      </c>
      <c r="H4">
        <v>493</v>
      </c>
      <c r="I4">
        <v>64864</v>
      </c>
      <c r="J4">
        <v>64383</v>
      </c>
      <c r="K4">
        <v>117</v>
      </c>
      <c r="L4" t="s">
        <v>53</v>
      </c>
      <c r="M4" t="s">
        <v>11</v>
      </c>
      <c r="N4" s="2">
        <f>(Posts__2[[#This Row],[Likes]]+Posts__2[[#This Row],[Shares]]+Posts__2[[#This Row],[Comments]])/Posts__2[[#This Row],[Impressions]]</f>
        <v>7.6097681302417369E-2</v>
      </c>
      <c r="O4" s="7">
        <f>Posts__2[[#This Row],[Likes]]+Posts__2[[#This Row],[Shares]]+Posts__2[[#This Row],[Comments]]</f>
        <v>4936</v>
      </c>
      <c r="P4" s="7">
        <f>_xlfn.XLOOKUP(Posts__2[[#This Row],[Platform]],'Engagement Summary'!B:B,'Engagement Summary'!G:G,"NA",0)</f>
        <v>26752</v>
      </c>
      <c r="Q4" t="str">
        <f>IFERROR(IF(C4 &lt; _xlfn.XLOOKUP(M4, 'Campaign Metadata'!A:A, 'Campaign Metadata'!B:B), "Before", "During"), "Not Found")</f>
        <v>During</v>
      </c>
      <c r="R4" s="13">
        <f>Posts__2[[#This Row],[Engagement]]/Posts__2[[#This Row],[Ad Spend]]</f>
        <v>0.18450956937799043</v>
      </c>
    </row>
    <row r="5" spans="1:18" x14ac:dyDescent="0.3">
      <c r="A5" t="s">
        <v>50</v>
      </c>
      <c r="B5" t="s">
        <v>32</v>
      </c>
      <c r="C5" s="1">
        <v>45750</v>
      </c>
      <c r="D5" t="s">
        <v>51</v>
      </c>
      <c r="E5" t="s">
        <v>52</v>
      </c>
      <c r="F5">
        <v>4054</v>
      </c>
      <c r="G5">
        <v>389</v>
      </c>
      <c r="H5">
        <v>493</v>
      </c>
      <c r="I5">
        <v>64864</v>
      </c>
      <c r="J5">
        <v>64383</v>
      </c>
      <c r="K5">
        <v>117</v>
      </c>
      <c r="L5" t="s">
        <v>54</v>
      </c>
      <c r="M5" t="s">
        <v>11</v>
      </c>
      <c r="N5" s="2">
        <f>(Posts__2[[#This Row],[Likes]]+Posts__2[[#This Row],[Shares]]+Posts__2[[#This Row],[Comments]])/Posts__2[[#This Row],[Impressions]]</f>
        <v>7.6097681302417369E-2</v>
      </c>
      <c r="O5" s="7">
        <f>Posts__2[[#This Row],[Likes]]+Posts__2[[#This Row],[Shares]]+Posts__2[[#This Row],[Comments]]</f>
        <v>4936</v>
      </c>
      <c r="P5" s="7">
        <f>_xlfn.XLOOKUP(Posts__2[[#This Row],[Platform]],'Engagement Summary'!B:B,'Engagement Summary'!G:G,"NA",0)</f>
        <v>26752</v>
      </c>
      <c r="Q5" t="str">
        <f>IFERROR(IF(C5 &lt; _xlfn.XLOOKUP(M5, 'Campaign Metadata'!A:A, 'Campaign Metadata'!B:B), "Before", "During"), "Not Found")</f>
        <v>During</v>
      </c>
      <c r="R5" s="13">
        <f>Posts__2[[#This Row],[Engagement]]/Posts__2[[#This Row],[Ad Spend]]</f>
        <v>0.18450956937799043</v>
      </c>
    </row>
    <row r="6" spans="1:18" x14ac:dyDescent="0.3">
      <c r="A6" t="s">
        <v>55</v>
      </c>
      <c r="B6" t="s">
        <v>33</v>
      </c>
      <c r="C6" s="1">
        <v>45789</v>
      </c>
      <c r="D6" t="s">
        <v>46</v>
      </c>
      <c r="E6" t="s">
        <v>56</v>
      </c>
      <c r="F6">
        <v>2795</v>
      </c>
      <c r="G6">
        <v>105</v>
      </c>
      <c r="H6">
        <v>49</v>
      </c>
      <c r="I6">
        <v>53105</v>
      </c>
      <c r="J6">
        <v>52307</v>
      </c>
      <c r="K6">
        <v>204</v>
      </c>
      <c r="L6" t="s">
        <v>53</v>
      </c>
      <c r="M6" t="s">
        <v>15</v>
      </c>
      <c r="N6" s="2">
        <f>(Posts__2[[#This Row],[Likes]]+Posts__2[[#This Row],[Shares]]+Posts__2[[#This Row],[Comments]])/Posts__2[[#This Row],[Impressions]]</f>
        <v>5.5531494209584788E-2</v>
      </c>
      <c r="O6" s="7">
        <f>Posts__2[[#This Row],[Likes]]+Posts__2[[#This Row],[Shares]]+Posts__2[[#This Row],[Comments]]</f>
        <v>2949</v>
      </c>
      <c r="P6" s="7">
        <f>_xlfn.XLOOKUP(Posts__2[[#This Row],[Platform]],'Engagement Summary'!B:B,'Engagement Summary'!G:G,"NA",0)</f>
        <v>30671</v>
      </c>
      <c r="Q6" t="str">
        <f>IFERROR(IF(C6 &lt; _xlfn.XLOOKUP(M6, 'Campaign Metadata'!A:A, 'Campaign Metadata'!B:B), "Before", "During"), "Not Found")</f>
        <v>During</v>
      </c>
      <c r="R6" s="13">
        <f>Posts__2[[#This Row],[Engagement]]/Posts__2[[#This Row],[Ad Spend]]</f>
        <v>9.6149457141925604E-2</v>
      </c>
    </row>
    <row r="7" spans="1:18" x14ac:dyDescent="0.3">
      <c r="A7" t="s">
        <v>57</v>
      </c>
      <c r="B7" t="s">
        <v>30</v>
      </c>
      <c r="C7" s="1">
        <v>45516</v>
      </c>
      <c r="D7" t="s">
        <v>58</v>
      </c>
      <c r="E7" t="s">
        <v>59</v>
      </c>
      <c r="F7">
        <v>2404</v>
      </c>
      <c r="G7">
        <v>363</v>
      </c>
      <c r="H7">
        <v>138</v>
      </c>
      <c r="I7">
        <v>19232</v>
      </c>
      <c r="J7">
        <v>18636</v>
      </c>
      <c r="K7">
        <v>128</v>
      </c>
      <c r="L7" t="s">
        <v>60</v>
      </c>
      <c r="M7" t="s">
        <v>19</v>
      </c>
      <c r="N7" s="2">
        <f>(Posts__2[[#This Row],[Likes]]+Posts__2[[#This Row],[Shares]]+Posts__2[[#This Row],[Comments]])/Posts__2[[#This Row],[Impressions]]</f>
        <v>0.15105033277870217</v>
      </c>
      <c r="O7" s="7">
        <f>Posts__2[[#This Row],[Likes]]+Posts__2[[#This Row],[Shares]]+Posts__2[[#This Row],[Comments]]</f>
        <v>2905</v>
      </c>
      <c r="P7" s="7">
        <f>_xlfn.XLOOKUP(Posts__2[[#This Row],[Platform]],'Engagement Summary'!B:B,'Engagement Summary'!G:G,"NA",0)</f>
        <v>5904</v>
      </c>
      <c r="Q7" t="str">
        <f>IFERROR(IF(C7 &lt; _xlfn.XLOOKUP(M7, 'Campaign Metadata'!A:A, 'Campaign Metadata'!B:B), "Before", "During"), "Not Found")</f>
        <v>Before</v>
      </c>
      <c r="R7" s="13">
        <f>Posts__2[[#This Row],[Engagement]]/Posts__2[[#This Row],[Ad Spend]]</f>
        <v>0.49203929539295393</v>
      </c>
    </row>
    <row r="8" spans="1:18" x14ac:dyDescent="0.3">
      <c r="A8" t="s">
        <v>61</v>
      </c>
      <c r="B8" t="s">
        <v>33</v>
      </c>
      <c r="C8" s="1">
        <v>45469</v>
      </c>
      <c r="D8" t="s">
        <v>46</v>
      </c>
      <c r="E8" t="s">
        <v>56</v>
      </c>
      <c r="F8">
        <v>3557</v>
      </c>
      <c r="G8">
        <v>687</v>
      </c>
      <c r="H8">
        <v>424</v>
      </c>
      <c r="I8">
        <v>71140</v>
      </c>
      <c r="J8">
        <v>70701</v>
      </c>
      <c r="K8">
        <v>224</v>
      </c>
      <c r="L8" t="s">
        <v>60</v>
      </c>
      <c r="M8" t="s">
        <v>7</v>
      </c>
      <c r="N8" s="2">
        <f>(Posts__2[[#This Row],[Likes]]+Posts__2[[#This Row],[Shares]]+Posts__2[[#This Row],[Comments]])/Posts__2[[#This Row],[Impressions]]</f>
        <v>6.5617093055946027E-2</v>
      </c>
      <c r="O8" s="7">
        <f>Posts__2[[#This Row],[Likes]]+Posts__2[[#This Row],[Shares]]+Posts__2[[#This Row],[Comments]]</f>
        <v>4668</v>
      </c>
      <c r="P8" s="7">
        <f>_xlfn.XLOOKUP(Posts__2[[#This Row],[Platform]],'Engagement Summary'!B:B,'Engagement Summary'!G:G,"NA",0)</f>
        <v>30671</v>
      </c>
      <c r="Q8" t="str">
        <f>IFERROR(IF(C8 &lt; _xlfn.XLOOKUP(M8, 'Campaign Metadata'!A:A, 'Campaign Metadata'!B:B), "Before", "During"), "Not Found")</f>
        <v>During</v>
      </c>
      <c r="R8" s="13">
        <f>Posts__2[[#This Row],[Engagement]]/Posts__2[[#This Row],[Ad Spend]]</f>
        <v>0.15219588536402465</v>
      </c>
    </row>
    <row r="9" spans="1:18" x14ac:dyDescent="0.3">
      <c r="A9" t="s">
        <v>61</v>
      </c>
      <c r="B9" t="s">
        <v>33</v>
      </c>
      <c r="C9" s="1">
        <v>45469</v>
      </c>
      <c r="D9" t="s">
        <v>46</v>
      </c>
      <c r="E9" t="s">
        <v>56</v>
      </c>
      <c r="F9">
        <v>3557</v>
      </c>
      <c r="G9">
        <v>687</v>
      </c>
      <c r="H9">
        <v>424</v>
      </c>
      <c r="I9">
        <v>71140</v>
      </c>
      <c r="J9">
        <v>70701</v>
      </c>
      <c r="K9">
        <v>224</v>
      </c>
      <c r="L9" t="s">
        <v>53</v>
      </c>
      <c r="M9" t="s">
        <v>7</v>
      </c>
      <c r="N9" s="2">
        <f>(Posts__2[[#This Row],[Likes]]+Posts__2[[#This Row],[Shares]]+Posts__2[[#This Row],[Comments]])/Posts__2[[#This Row],[Impressions]]</f>
        <v>6.5617093055946027E-2</v>
      </c>
      <c r="O9" s="7">
        <f>Posts__2[[#This Row],[Likes]]+Posts__2[[#This Row],[Shares]]+Posts__2[[#This Row],[Comments]]</f>
        <v>4668</v>
      </c>
      <c r="P9" s="7">
        <f>_xlfn.XLOOKUP(Posts__2[[#This Row],[Platform]],'Engagement Summary'!B:B,'Engagement Summary'!G:G,"NA",0)</f>
        <v>30671</v>
      </c>
      <c r="Q9" t="str">
        <f>IFERROR(IF(C9 &lt; _xlfn.XLOOKUP(M9, 'Campaign Metadata'!A:A, 'Campaign Metadata'!B:B), "Before", "During"), "Not Found")</f>
        <v>During</v>
      </c>
      <c r="R9" s="13">
        <f>Posts__2[[#This Row],[Engagement]]/Posts__2[[#This Row],[Ad Spend]]</f>
        <v>0.15219588536402465</v>
      </c>
    </row>
    <row r="10" spans="1:18" x14ac:dyDescent="0.3">
      <c r="A10" t="s">
        <v>62</v>
      </c>
      <c r="B10" t="s">
        <v>31</v>
      </c>
      <c r="C10" s="1">
        <v>45596</v>
      </c>
      <c r="D10" t="s">
        <v>63</v>
      </c>
      <c r="E10" t="s">
        <v>64</v>
      </c>
      <c r="F10">
        <v>2945</v>
      </c>
      <c r="G10">
        <v>930</v>
      </c>
      <c r="H10">
        <v>355</v>
      </c>
      <c r="I10">
        <v>23560</v>
      </c>
      <c r="J10">
        <v>23275</v>
      </c>
      <c r="K10">
        <v>256</v>
      </c>
      <c r="L10" t="s">
        <v>53</v>
      </c>
      <c r="M10" t="s">
        <v>11</v>
      </c>
      <c r="N10" s="2">
        <f>(Posts__2[[#This Row],[Likes]]+Posts__2[[#This Row],[Shares]]+Posts__2[[#This Row],[Comments]])/Posts__2[[#This Row],[Impressions]]</f>
        <v>0.17954159592529711</v>
      </c>
      <c r="O10" s="7">
        <f>Posts__2[[#This Row],[Likes]]+Posts__2[[#This Row],[Shares]]+Posts__2[[#This Row],[Comments]]</f>
        <v>4230</v>
      </c>
      <c r="P10" s="7">
        <f>_xlfn.XLOOKUP(Posts__2[[#This Row],[Platform]],'Engagement Summary'!B:B,'Engagement Summary'!G:G,"NA",0)</f>
        <v>9566</v>
      </c>
      <c r="Q10" t="str">
        <f>IFERROR(IF(C10 &lt; _xlfn.XLOOKUP(M10, 'Campaign Metadata'!A:A, 'Campaign Metadata'!B:B), "Before", "During"), "Not Found")</f>
        <v>During</v>
      </c>
      <c r="R10" s="13">
        <f>Posts__2[[#This Row],[Engagement]]/Posts__2[[#This Row],[Ad Spend]]</f>
        <v>0.44219109345598995</v>
      </c>
    </row>
    <row r="11" spans="1:18" x14ac:dyDescent="0.3">
      <c r="A11" t="s">
        <v>65</v>
      </c>
      <c r="B11" t="s">
        <v>32</v>
      </c>
      <c r="C11" s="1">
        <v>45467</v>
      </c>
      <c r="D11" t="s">
        <v>63</v>
      </c>
      <c r="E11" t="s">
        <v>66</v>
      </c>
      <c r="F11">
        <v>3860</v>
      </c>
      <c r="G11">
        <v>201</v>
      </c>
      <c r="H11">
        <v>279</v>
      </c>
      <c r="I11">
        <v>61760</v>
      </c>
      <c r="J11">
        <v>61660</v>
      </c>
      <c r="K11">
        <v>235</v>
      </c>
      <c r="L11" t="s">
        <v>53</v>
      </c>
      <c r="M11" t="s">
        <v>11</v>
      </c>
      <c r="N11" s="2">
        <f>(Posts__2[[#This Row],[Likes]]+Posts__2[[#This Row],[Shares]]+Posts__2[[#This Row],[Comments]])/Posts__2[[#This Row],[Impressions]]</f>
        <v>7.0272020725388601E-2</v>
      </c>
      <c r="O11" s="7">
        <f>Posts__2[[#This Row],[Likes]]+Posts__2[[#This Row],[Shares]]+Posts__2[[#This Row],[Comments]]</f>
        <v>4340</v>
      </c>
      <c r="P11" s="7">
        <f>_xlfn.XLOOKUP(Posts__2[[#This Row],[Platform]],'Engagement Summary'!B:B,'Engagement Summary'!G:G,"NA",0)</f>
        <v>26752</v>
      </c>
      <c r="Q11" t="str">
        <f>IFERROR(IF(C11 &lt; _xlfn.XLOOKUP(M11, 'Campaign Metadata'!A:A, 'Campaign Metadata'!B:B), "Before", "During"), "Not Found")</f>
        <v>Before</v>
      </c>
      <c r="R11" s="13">
        <f>Posts__2[[#This Row],[Engagement]]/Posts__2[[#This Row],[Ad Spend]]</f>
        <v>0.16223086124401914</v>
      </c>
    </row>
    <row r="12" spans="1:18" x14ac:dyDescent="0.3">
      <c r="A12" t="s">
        <v>67</v>
      </c>
      <c r="B12" t="s">
        <v>33</v>
      </c>
      <c r="C12" s="1">
        <v>45486</v>
      </c>
      <c r="D12" t="s">
        <v>68</v>
      </c>
      <c r="E12" t="s">
        <v>69</v>
      </c>
      <c r="F12">
        <v>3929</v>
      </c>
      <c r="G12">
        <v>262</v>
      </c>
      <c r="H12">
        <v>278</v>
      </c>
      <c r="I12">
        <v>43219</v>
      </c>
      <c r="J12">
        <v>42841</v>
      </c>
      <c r="K12">
        <v>39</v>
      </c>
      <c r="L12" t="s">
        <v>60</v>
      </c>
      <c r="M12" t="s">
        <v>19</v>
      </c>
      <c r="N12" s="2">
        <f>(Posts__2[[#This Row],[Likes]]+Posts__2[[#This Row],[Shares]]+Posts__2[[#This Row],[Comments]])/Posts__2[[#This Row],[Impressions]]</f>
        <v>0.10340359564080613</v>
      </c>
      <c r="O12" s="7">
        <f>Posts__2[[#This Row],[Likes]]+Posts__2[[#This Row],[Shares]]+Posts__2[[#This Row],[Comments]]</f>
        <v>4469</v>
      </c>
      <c r="P12" s="7">
        <f>_xlfn.XLOOKUP(Posts__2[[#This Row],[Platform]],'Engagement Summary'!B:B,'Engagement Summary'!G:G,"NA",0)</f>
        <v>30671</v>
      </c>
      <c r="Q12" t="str">
        <f>IFERROR(IF(C12 &lt; _xlfn.XLOOKUP(M12, 'Campaign Metadata'!A:A, 'Campaign Metadata'!B:B), "Before", "During"), "Not Found")</f>
        <v>Before</v>
      </c>
      <c r="R12" s="13">
        <f>Posts__2[[#This Row],[Engagement]]/Posts__2[[#This Row],[Ad Spend]]</f>
        <v>0.14570767174203644</v>
      </c>
    </row>
    <row r="13" spans="1:18" x14ac:dyDescent="0.3">
      <c r="A13" t="s">
        <v>70</v>
      </c>
      <c r="B13" t="s">
        <v>31</v>
      </c>
      <c r="C13" s="1">
        <v>45534</v>
      </c>
      <c r="D13" t="s">
        <v>51</v>
      </c>
      <c r="E13" t="s">
        <v>71</v>
      </c>
      <c r="F13">
        <v>3784</v>
      </c>
      <c r="G13">
        <v>808</v>
      </c>
      <c r="H13">
        <v>404</v>
      </c>
      <c r="I13">
        <v>56760</v>
      </c>
      <c r="J13">
        <v>56343</v>
      </c>
      <c r="K13">
        <v>131</v>
      </c>
      <c r="L13" t="s">
        <v>53</v>
      </c>
      <c r="M13" t="s">
        <v>11</v>
      </c>
      <c r="N13" s="2">
        <f>(Posts__2[[#This Row],[Likes]]+Posts__2[[#This Row],[Shares]]+Posts__2[[#This Row],[Comments]])/Posts__2[[#This Row],[Impressions]]</f>
        <v>8.8019732205778717E-2</v>
      </c>
      <c r="O13" s="7">
        <f>Posts__2[[#This Row],[Likes]]+Posts__2[[#This Row],[Shares]]+Posts__2[[#This Row],[Comments]]</f>
        <v>4996</v>
      </c>
      <c r="P13" s="7">
        <f>_xlfn.XLOOKUP(Posts__2[[#This Row],[Platform]],'Engagement Summary'!B:B,'Engagement Summary'!G:G,"NA",0)</f>
        <v>9566</v>
      </c>
      <c r="Q13" t="str">
        <f>IFERROR(IF(C13 &lt; _xlfn.XLOOKUP(M13, 'Campaign Metadata'!A:A, 'Campaign Metadata'!B:B), "Before", "During"), "Not Found")</f>
        <v>Before</v>
      </c>
      <c r="R13" s="13">
        <f>Posts__2[[#This Row],[Engagement]]/Posts__2[[#This Row],[Ad Spend]]</f>
        <v>0.52226636002508886</v>
      </c>
    </row>
    <row r="14" spans="1:18" x14ac:dyDescent="0.3">
      <c r="A14" t="s">
        <v>72</v>
      </c>
      <c r="B14" t="s">
        <v>31</v>
      </c>
      <c r="C14" s="1">
        <v>45727</v>
      </c>
      <c r="D14" t="s">
        <v>68</v>
      </c>
      <c r="E14" t="s">
        <v>73</v>
      </c>
      <c r="F14">
        <v>4241</v>
      </c>
      <c r="G14">
        <v>902</v>
      </c>
      <c r="H14">
        <v>47</v>
      </c>
      <c r="I14">
        <v>72097</v>
      </c>
      <c r="J14">
        <v>71598</v>
      </c>
      <c r="K14">
        <v>167</v>
      </c>
      <c r="L14" t="s">
        <v>53</v>
      </c>
      <c r="M14" t="s">
        <v>11</v>
      </c>
      <c r="N14" s="2">
        <f>(Posts__2[[#This Row],[Likes]]+Posts__2[[#This Row],[Shares]]+Posts__2[[#This Row],[Comments]])/Posts__2[[#This Row],[Impressions]]</f>
        <v>7.198635172059864E-2</v>
      </c>
      <c r="O14" s="7">
        <f>Posts__2[[#This Row],[Likes]]+Posts__2[[#This Row],[Shares]]+Posts__2[[#This Row],[Comments]]</f>
        <v>5190</v>
      </c>
      <c r="P14" s="7">
        <f>_xlfn.XLOOKUP(Posts__2[[#This Row],[Platform]],'Engagement Summary'!B:B,'Engagement Summary'!G:G,"NA",0)</f>
        <v>9566</v>
      </c>
      <c r="Q14" t="str">
        <f>IFERROR(IF(C14 &lt; _xlfn.XLOOKUP(M14, 'Campaign Metadata'!A:A, 'Campaign Metadata'!B:B), "Before", "During"), "Not Found")</f>
        <v>During</v>
      </c>
      <c r="R14" s="13">
        <f>Posts__2[[#This Row],[Engagement]]/Posts__2[[#This Row],[Ad Spend]]</f>
        <v>0.54254651892117922</v>
      </c>
    </row>
    <row r="15" spans="1:18" x14ac:dyDescent="0.3">
      <c r="A15" t="s">
        <v>74</v>
      </c>
      <c r="B15" t="s">
        <v>30</v>
      </c>
      <c r="C15" s="1">
        <v>45690</v>
      </c>
      <c r="D15" t="s">
        <v>58</v>
      </c>
      <c r="E15" t="s">
        <v>59</v>
      </c>
      <c r="F15">
        <v>1792</v>
      </c>
      <c r="G15">
        <v>614</v>
      </c>
      <c r="H15">
        <v>497</v>
      </c>
      <c r="I15">
        <v>25088</v>
      </c>
      <c r="J15">
        <v>24675</v>
      </c>
      <c r="K15">
        <v>65</v>
      </c>
      <c r="L15" t="s">
        <v>48</v>
      </c>
      <c r="M15" t="s">
        <v>19</v>
      </c>
      <c r="N15" s="2">
        <f>(Posts__2[[#This Row],[Likes]]+Posts__2[[#This Row],[Shares]]+Posts__2[[#This Row],[Comments]])/Posts__2[[#This Row],[Impressions]]</f>
        <v>0.11571269132653061</v>
      </c>
      <c r="O15" s="7">
        <f>Posts__2[[#This Row],[Likes]]+Posts__2[[#This Row],[Shares]]+Posts__2[[#This Row],[Comments]]</f>
        <v>2903</v>
      </c>
      <c r="P15" s="7">
        <f>_xlfn.XLOOKUP(Posts__2[[#This Row],[Platform]],'Engagement Summary'!B:B,'Engagement Summary'!G:G,"NA",0)</f>
        <v>5904</v>
      </c>
      <c r="Q15" t="str">
        <f>IFERROR(IF(C15 &lt; _xlfn.XLOOKUP(M15, 'Campaign Metadata'!A:A, 'Campaign Metadata'!B:B), "Before", "During"), "Not Found")</f>
        <v>Before</v>
      </c>
      <c r="R15" s="13">
        <f>Posts__2[[#This Row],[Engagement]]/Posts__2[[#This Row],[Ad Spend]]</f>
        <v>0.49170054200542007</v>
      </c>
    </row>
    <row r="16" spans="1:18" x14ac:dyDescent="0.3">
      <c r="A16" t="s">
        <v>75</v>
      </c>
      <c r="B16" t="s">
        <v>31</v>
      </c>
      <c r="C16" s="1">
        <v>45494</v>
      </c>
      <c r="D16" t="s">
        <v>46</v>
      </c>
      <c r="E16" t="s">
        <v>76</v>
      </c>
      <c r="F16">
        <v>1946</v>
      </c>
      <c r="G16">
        <v>686</v>
      </c>
      <c r="H16">
        <v>377</v>
      </c>
      <c r="I16">
        <v>23352</v>
      </c>
      <c r="J16">
        <v>22982</v>
      </c>
      <c r="K16">
        <v>213</v>
      </c>
      <c r="L16" t="s">
        <v>48</v>
      </c>
      <c r="M16" t="s">
        <v>15</v>
      </c>
      <c r="N16" s="2">
        <f>(Posts__2[[#This Row],[Likes]]+Posts__2[[#This Row],[Shares]]+Posts__2[[#This Row],[Comments]])/Posts__2[[#This Row],[Impressions]]</f>
        <v>0.12885405960945528</v>
      </c>
      <c r="O16" s="7">
        <f>Posts__2[[#This Row],[Likes]]+Posts__2[[#This Row],[Shares]]+Posts__2[[#This Row],[Comments]]</f>
        <v>3009</v>
      </c>
      <c r="P16" s="7">
        <f>_xlfn.XLOOKUP(Posts__2[[#This Row],[Platform]],'Engagement Summary'!B:B,'Engagement Summary'!G:G,"NA",0)</f>
        <v>9566</v>
      </c>
      <c r="Q16" t="str">
        <f>IFERROR(IF(C16 &lt; _xlfn.XLOOKUP(M16, 'Campaign Metadata'!A:A, 'Campaign Metadata'!B:B), "Before", "During"), "Not Found")</f>
        <v>Before</v>
      </c>
      <c r="R16" s="13">
        <f>Posts__2[[#This Row],[Engagement]]/Posts__2[[#This Row],[Ad Spend]]</f>
        <v>0.31455153669245245</v>
      </c>
    </row>
    <row r="17" spans="1:18" x14ac:dyDescent="0.3">
      <c r="A17" t="s">
        <v>77</v>
      </c>
      <c r="B17" t="s">
        <v>33</v>
      </c>
      <c r="C17" s="1">
        <v>45614</v>
      </c>
      <c r="D17" t="s">
        <v>63</v>
      </c>
      <c r="E17" t="s">
        <v>78</v>
      </c>
      <c r="F17">
        <v>1171</v>
      </c>
      <c r="G17">
        <v>286</v>
      </c>
      <c r="H17">
        <v>231</v>
      </c>
      <c r="I17">
        <v>22249</v>
      </c>
      <c r="J17">
        <v>21282</v>
      </c>
      <c r="K17">
        <v>114</v>
      </c>
      <c r="L17" t="s">
        <v>60</v>
      </c>
      <c r="M17" t="s">
        <v>7</v>
      </c>
      <c r="N17" s="2">
        <f>(Posts__2[[#This Row],[Likes]]+Posts__2[[#This Row],[Shares]]+Posts__2[[#This Row],[Comments]])/Posts__2[[#This Row],[Impressions]]</f>
        <v>7.5868578363072495E-2</v>
      </c>
      <c r="O17" s="7">
        <f>Posts__2[[#This Row],[Likes]]+Posts__2[[#This Row],[Shares]]+Posts__2[[#This Row],[Comments]]</f>
        <v>1688</v>
      </c>
      <c r="P17" s="7">
        <f>_xlfn.XLOOKUP(Posts__2[[#This Row],[Platform]],'Engagement Summary'!B:B,'Engagement Summary'!G:G,"NA",0)</f>
        <v>30671</v>
      </c>
      <c r="Q17" t="str">
        <f>IFERROR(IF(C17 &lt; _xlfn.XLOOKUP(M17, 'Campaign Metadata'!A:A, 'Campaign Metadata'!B:B), "Before", "During"), "Not Found")</f>
        <v>During</v>
      </c>
      <c r="R17" s="13">
        <f>Posts__2[[#This Row],[Engagement]]/Posts__2[[#This Row],[Ad Spend]]</f>
        <v>5.503570147696521E-2</v>
      </c>
    </row>
    <row r="18" spans="1:18" x14ac:dyDescent="0.3">
      <c r="A18" t="s">
        <v>79</v>
      </c>
      <c r="B18" t="s">
        <v>31</v>
      </c>
      <c r="C18" s="1">
        <v>45704</v>
      </c>
      <c r="D18" t="s">
        <v>58</v>
      </c>
      <c r="E18" t="s">
        <v>80</v>
      </c>
      <c r="F18">
        <v>4242</v>
      </c>
      <c r="G18">
        <v>555</v>
      </c>
      <c r="H18">
        <v>131</v>
      </c>
      <c r="I18">
        <v>33936</v>
      </c>
      <c r="J18">
        <v>33802</v>
      </c>
      <c r="K18">
        <v>265</v>
      </c>
      <c r="L18" t="s">
        <v>48</v>
      </c>
      <c r="M18" t="s">
        <v>380</v>
      </c>
      <c r="N18" s="2">
        <f>(Posts__2[[#This Row],[Likes]]+Posts__2[[#This Row],[Shares]]+Posts__2[[#This Row],[Comments]])/Posts__2[[#This Row],[Impressions]]</f>
        <v>0.14521452145214522</v>
      </c>
      <c r="O18" s="7">
        <f>Posts__2[[#This Row],[Likes]]+Posts__2[[#This Row],[Shares]]+Posts__2[[#This Row],[Comments]]</f>
        <v>4928</v>
      </c>
      <c r="P18" s="7">
        <f>_xlfn.XLOOKUP(Posts__2[[#This Row],[Platform]],'Engagement Summary'!B:B,'Engagement Summary'!G:G,"NA",0)</f>
        <v>9566</v>
      </c>
      <c r="Q18" t="str">
        <f>IFERROR(IF(C18 &lt; _xlfn.XLOOKUP(M18, 'Campaign Metadata'!A:A, 'Campaign Metadata'!B:B), "Before", "During"), "Not Found")</f>
        <v>Not Found</v>
      </c>
      <c r="R18" s="13">
        <f>Posts__2[[#This Row],[Engagement]]/Posts__2[[#This Row],[Ad Spend]]</f>
        <v>0.5151578507213046</v>
      </c>
    </row>
    <row r="19" spans="1:18" x14ac:dyDescent="0.3">
      <c r="A19" t="s">
        <v>81</v>
      </c>
      <c r="B19" t="s">
        <v>31</v>
      </c>
      <c r="C19" s="1">
        <v>45589</v>
      </c>
      <c r="D19" t="s">
        <v>82</v>
      </c>
      <c r="E19" t="s">
        <v>83</v>
      </c>
      <c r="F19">
        <v>3888</v>
      </c>
      <c r="G19">
        <v>604</v>
      </c>
      <c r="H19">
        <v>128</v>
      </c>
      <c r="I19">
        <v>77760</v>
      </c>
      <c r="J19">
        <v>77167</v>
      </c>
      <c r="K19">
        <v>20</v>
      </c>
      <c r="L19" t="s">
        <v>48</v>
      </c>
      <c r="M19" t="s">
        <v>7</v>
      </c>
      <c r="N19" s="2">
        <f>(Posts__2[[#This Row],[Likes]]+Posts__2[[#This Row],[Shares]]+Posts__2[[#This Row],[Comments]])/Posts__2[[#This Row],[Impressions]]</f>
        <v>5.941358024691358E-2</v>
      </c>
      <c r="O19" s="7">
        <f>Posts__2[[#This Row],[Likes]]+Posts__2[[#This Row],[Shares]]+Posts__2[[#This Row],[Comments]]</f>
        <v>4620</v>
      </c>
      <c r="P19" s="7">
        <f>_xlfn.XLOOKUP(Posts__2[[#This Row],[Platform]],'Engagement Summary'!B:B,'Engagement Summary'!G:G,"NA",0)</f>
        <v>9566</v>
      </c>
      <c r="Q19" t="str">
        <f>IFERROR(IF(C19 &lt; _xlfn.XLOOKUP(M19, 'Campaign Metadata'!A:A, 'Campaign Metadata'!B:B), "Before", "During"), "Not Found")</f>
        <v>During</v>
      </c>
      <c r="R19" s="13">
        <f>Posts__2[[#This Row],[Engagement]]/Posts__2[[#This Row],[Ad Spend]]</f>
        <v>0.48296048505122308</v>
      </c>
    </row>
    <row r="20" spans="1:18" x14ac:dyDescent="0.3">
      <c r="A20" t="s">
        <v>84</v>
      </c>
      <c r="B20" t="s">
        <v>31</v>
      </c>
      <c r="C20" s="1">
        <v>45530</v>
      </c>
      <c r="D20" t="s">
        <v>51</v>
      </c>
      <c r="E20" t="s">
        <v>71</v>
      </c>
      <c r="F20">
        <v>3452</v>
      </c>
      <c r="G20">
        <v>377</v>
      </c>
      <c r="H20">
        <v>360</v>
      </c>
      <c r="I20">
        <v>55232</v>
      </c>
      <c r="J20">
        <v>55075</v>
      </c>
      <c r="K20">
        <v>87</v>
      </c>
      <c r="L20" t="s">
        <v>48</v>
      </c>
      <c r="M20" t="s">
        <v>15</v>
      </c>
      <c r="N20" s="2">
        <f>(Posts__2[[#This Row],[Likes]]+Posts__2[[#This Row],[Shares]]+Posts__2[[#This Row],[Comments]])/Posts__2[[#This Row],[Impressions]]</f>
        <v>7.5843713789107758E-2</v>
      </c>
      <c r="O20" s="7">
        <f>Posts__2[[#This Row],[Likes]]+Posts__2[[#This Row],[Shares]]+Posts__2[[#This Row],[Comments]]</f>
        <v>4189</v>
      </c>
      <c r="P20" s="7">
        <f>_xlfn.XLOOKUP(Posts__2[[#This Row],[Platform]],'Engagement Summary'!B:B,'Engagement Summary'!G:G,"NA",0)</f>
        <v>9566</v>
      </c>
      <c r="Q20" t="str">
        <f>IFERROR(IF(C20 &lt; _xlfn.XLOOKUP(M20, 'Campaign Metadata'!A:A, 'Campaign Metadata'!B:B), "Before", "During"), "Not Found")</f>
        <v>Before</v>
      </c>
      <c r="R20" s="13">
        <f>Posts__2[[#This Row],[Engagement]]/Posts__2[[#This Row],[Ad Spend]]</f>
        <v>0.4379050804934142</v>
      </c>
    </row>
    <row r="21" spans="1:18" x14ac:dyDescent="0.3">
      <c r="A21" t="s">
        <v>85</v>
      </c>
      <c r="B21" t="s">
        <v>31</v>
      </c>
      <c r="C21" s="1">
        <v>45782</v>
      </c>
      <c r="D21" t="s">
        <v>51</v>
      </c>
      <c r="E21" t="s">
        <v>71</v>
      </c>
      <c r="F21">
        <v>4441</v>
      </c>
      <c r="G21">
        <v>511</v>
      </c>
      <c r="H21">
        <v>70</v>
      </c>
      <c r="I21">
        <v>53292</v>
      </c>
      <c r="J21">
        <v>53082</v>
      </c>
      <c r="K21">
        <v>159</v>
      </c>
      <c r="L21" t="s">
        <v>60</v>
      </c>
      <c r="M21" t="s">
        <v>19</v>
      </c>
      <c r="N21" s="2">
        <f>(Posts__2[[#This Row],[Likes]]+Posts__2[[#This Row],[Shares]]+Posts__2[[#This Row],[Comments]])/Posts__2[[#This Row],[Impressions]]</f>
        <v>9.4235532537716729E-2</v>
      </c>
      <c r="O21" s="7">
        <f>Posts__2[[#This Row],[Likes]]+Posts__2[[#This Row],[Shares]]+Posts__2[[#This Row],[Comments]]</f>
        <v>5022</v>
      </c>
      <c r="P21" s="7">
        <f>_xlfn.XLOOKUP(Posts__2[[#This Row],[Platform]],'Engagement Summary'!B:B,'Engagement Summary'!G:G,"NA",0)</f>
        <v>9566</v>
      </c>
      <c r="Q21" t="str">
        <f>IFERROR(IF(C21 &lt; _xlfn.XLOOKUP(M21, 'Campaign Metadata'!A:A, 'Campaign Metadata'!B:B), "Before", "During"), "Not Found")</f>
        <v>During</v>
      </c>
      <c r="R21" s="13">
        <f>Posts__2[[#This Row],[Engagement]]/Posts__2[[#This Row],[Ad Spend]]</f>
        <v>0.52498431946477109</v>
      </c>
    </row>
    <row r="22" spans="1:18" x14ac:dyDescent="0.3">
      <c r="A22" t="s">
        <v>86</v>
      </c>
      <c r="B22" t="s">
        <v>30</v>
      </c>
      <c r="C22" s="1">
        <v>45523</v>
      </c>
      <c r="D22" t="s">
        <v>46</v>
      </c>
      <c r="E22" t="s">
        <v>87</v>
      </c>
      <c r="F22">
        <v>3000</v>
      </c>
      <c r="G22">
        <v>382</v>
      </c>
      <c r="H22">
        <v>325</v>
      </c>
      <c r="I22">
        <v>36000</v>
      </c>
      <c r="J22">
        <v>35819</v>
      </c>
      <c r="K22">
        <v>19</v>
      </c>
      <c r="L22" t="s">
        <v>48</v>
      </c>
      <c r="M22" t="s">
        <v>7</v>
      </c>
      <c r="N22" s="2">
        <f>(Posts__2[[#This Row],[Likes]]+Posts__2[[#This Row],[Shares]]+Posts__2[[#This Row],[Comments]])/Posts__2[[#This Row],[Impressions]]</f>
        <v>0.10297222222222223</v>
      </c>
      <c r="O22" s="7">
        <f>Posts__2[[#This Row],[Likes]]+Posts__2[[#This Row],[Shares]]+Posts__2[[#This Row],[Comments]]</f>
        <v>3707</v>
      </c>
      <c r="P22" s="7">
        <f>_xlfn.XLOOKUP(Posts__2[[#This Row],[Platform]],'Engagement Summary'!B:B,'Engagement Summary'!G:G,"NA",0)</f>
        <v>5904</v>
      </c>
      <c r="Q22" t="str">
        <f>IFERROR(IF(C22 &lt; _xlfn.XLOOKUP(M22, 'Campaign Metadata'!A:A, 'Campaign Metadata'!B:B), "Before", "During"), "Not Found")</f>
        <v>During</v>
      </c>
      <c r="R22" s="13">
        <f>Posts__2[[#This Row],[Engagement]]/Posts__2[[#This Row],[Ad Spend]]</f>
        <v>0.62787940379403795</v>
      </c>
    </row>
    <row r="23" spans="1:18" x14ac:dyDescent="0.3">
      <c r="A23" t="s">
        <v>88</v>
      </c>
      <c r="B23" t="s">
        <v>30</v>
      </c>
      <c r="C23" s="1">
        <v>45466</v>
      </c>
      <c r="D23" t="s">
        <v>82</v>
      </c>
      <c r="E23" t="s">
        <v>89</v>
      </c>
      <c r="F23">
        <v>1071</v>
      </c>
      <c r="G23">
        <v>519</v>
      </c>
      <c r="H23">
        <v>22</v>
      </c>
      <c r="I23">
        <v>16065</v>
      </c>
      <c r="J23">
        <v>15865</v>
      </c>
      <c r="K23">
        <v>103</v>
      </c>
      <c r="L23" t="s">
        <v>53</v>
      </c>
      <c r="M23" t="s">
        <v>19</v>
      </c>
      <c r="N23" s="2">
        <f>(Posts__2[[#This Row],[Likes]]+Posts__2[[#This Row],[Shares]]+Posts__2[[#This Row],[Comments]])/Posts__2[[#This Row],[Impressions]]</f>
        <v>0.10034235916588857</v>
      </c>
      <c r="O23" s="7">
        <f>Posts__2[[#This Row],[Likes]]+Posts__2[[#This Row],[Shares]]+Posts__2[[#This Row],[Comments]]</f>
        <v>1612</v>
      </c>
      <c r="P23" s="7">
        <f>_xlfn.XLOOKUP(Posts__2[[#This Row],[Platform]],'Engagement Summary'!B:B,'Engagement Summary'!G:G,"NA",0)</f>
        <v>5904</v>
      </c>
      <c r="Q23" t="str">
        <f>IFERROR(IF(C23 &lt; _xlfn.XLOOKUP(M23, 'Campaign Metadata'!A:A, 'Campaign Metadata'!B:B), "Before", "During"), "Not Found")</f>
        <v>Before</v>
      </c>
      <c r="R23" s="13">
        <f>Posts__2[[#This Row],[Engagement]]/Posts__2[[#This Row],[Ad Spend]]</f>
        <v>0.27303523035230354</v>
      </c>
    </row>
    <row r="24" spans="1:18" x14ac:dyDescent="0.3">
      <c r="A24" t="s">
        <v>90</v>
      </c>
      <c r="B24" t="s">
        <v>30</v>
      </c>
      <c r="C24" s="1">
        <v>45544</v>
      </c>
      <c r="D24" t="s">
        <v>63</v>
      </c>
      <c r="E24" t="s">
        <v>91</v>
      </c>
      <c r="F24">
        <v>4054</v>
      </c>
      <c r="G24">
        <v>488</v>
      </c>
      <c r="H24">
        <v>373</v>
      </c>
      <c r="I24">
        <v>77026</v>
      </c>
      <c r="J24">
        <v>76881</v>
      </c>
      <c r="K24">
        <v>25</v>
      </c>
      <c r="L24" t="s">
        <v>53</v>
      </c>
      <c r="M24" t="s">
        <v>7</v>
      </c>
      <c r="N24" s="2">
        <f>(Posts__2[[#This Row],[Likes]]+Posts__2[[#This Row],[Shares]]+Posts__2[[#This Row],[Comments]])/Posts__2[[#This Row],[Impressions]]</f>
        <v>6.3809622724794221E-2</v>
      </c>
      <c r="O24" s="7">
        <f>Posts__2[[#This Row],[Likes]]+Posts__2[[#This Row],[Shares]]+Posts__2[[#This Row],[Comments]]</f>
        <v>4915</v>
      </c>
      <c r="P24" s="7">
        <f>_xlfn.XLOOKUP(Posts__2[[#This Row],[Platform]],'Engagement Summary'!B:B,'Engagement Summary'!G:G,"NA",0)</f>
        <v>5904</v>
      </c>
      <c r="Q24" t="str">
        <f>IFERROR(IF(C24 &lt; _xlfn.XLOOKUP(M24, 'Campaign Metadata'!A:A, 'Campaign Metadata'!B:B), "Before", "During"), "Not Found")</f>
        <v>During</v>
      </c>
      <c r="R24" s="13">
        <f>Posts__2[[#This Row],[Engagement]]/Posts__2[[#This Row],[Ad Spend]]</f>
        <v>0.8324864498644986</v>
      </c>
    </row>
    <row r="25" spans="1:18" x14ac:dyDescent="0.3">
      <c r="A25" t="s">
        <v>92</v>
      </c>
      <c r="B25" t="s">
        <v>30</v>
      </c>
      <c r="C25" s="1">
        <v>45661</v>
      </c>
      <c r="D25" t="s">
        <v>46</v>
      </c>
      <c r="E25" t="s">
        <v>87</v>
      </c>
      <c r="F25">
        <v>4838</v>
      </c>
      <c r="G25">
        <v>640</v>
      </c>
      <c r="H25">
        <v>128</v>
      </c>
      <c r="I25">
        <v>72570</v>
      </c>
      <c r="J25">
        <v>72396</v>
      </c>
      <c r="K25">
        <v>83</v>
      </c>
      <c r="L25" t="s">
        <v>48</v>
      </c>
      <c r="M25" t="s">
        <v>19</v>
      </c>
      <c r="N25" s="2">
        <f>(Posts__2[[#This Row],[Likes]]+Posts__2[[#This Row],[Shares]]+Posts__2[[#This Row],[Comments]])/Posts__2[[#This Row],[Impressions]]</f>
        <v>7.7249552156538517E-2</v>
      </c>
      <c r="O25" s="7">
        <f>Posts__2[[#This Row],[Likes]]+Posts__2[[#This Row],[Shares]]+Posts__2[[#This Row],[Comments]]</f>
        <v>5606</v>
      </c>
      <c r="P25" s="7">
        <f>_xlfn.XLOOKUP(Posts__2[[#This Row],[Platform]],'Engagement Summary'!B:B,'Engagement Summary'!G:G,"NA",0)</f>
        <v>5904</v>
      </c>
      <c r="Q25" t="str">
        <f>IFERROR(IF(C25 &lt; _xlfn.XLOOKUP(M25, 'Campaign Metadata'!A:A, 'Campaign Metadata'!B:B), "Before", "During"), "Not Found")</f>
        <v>Before</v>
      </c>
      <c r="R25" s="13">
        <f>Posts__2[[#This Row],[Engagement]]/Posts__2[[#This Row],[Ad Spend]]</f>
        <v>0.94952574525745259</v>
      </c>
    </row>
    <row r="26" spans="1:18" x14ac:dyDescent="0.3">
      <c r="A26" t="s">
        <v>93</v>
      </c>
      <c r="B26" t="s">
        <v>31</v>
      </c>
      <c r="C26" s="1">
        <v>45715</v>
      </c>
      <c r="D26" t="s">
        <v>51</v>
      </c>
      <c r="E26" t="s">
        <v>71</v>
      </c>
      <c r="F26">
        <v>1570</v>
      </c>
      <c r="G26">
        <v>187</v>
      </c>
      <c r="H26">
        <v>260</v>
      </c>
      <c r="I26">
        <v>25120</v>
      </c>
      <c r="J26">
        <v>24613</v>
      </c>
      <c r="K26">
        <v>133</v>
      </c>
      <c r="L26" t="s">
        <v>53</v>
      </c>
      <c r="M26" t="s">
        <v>19</v>
      </c>
      <c r="N26" s="2">
        <f>(Posts__2[[#This Row],[Likes]]+Posts__2[[#This Row],[Shares]]+Posts__2[[#This Row],[Comments]])/Posts__2[[#This Row],[Impressions]]</f>
        <v>8.0294585987261149E-2</v>
      </c>
      <c r="O26" s="7">
        <f>Posts__2[[#This Row],[Likes]]+Posts__2[[#This Row],[Shares]]+Posts__2[[#This Row],[Comments]]</f>
        <v>2017</v>
      </c>
      <c r="P26" s="7">
        <f>_xlfn.XLOOKUP(Posts__2[[#This Row],[Platform]],'Engagement Summary'!B:B,'Engagement Summary'!G:G,"NA",0)</f>
        <v>9566</v>
      </c>
      <c r="Q26" t="str">
        <f>IFERROR(IF(C26 &lt; _xlfn.XLOOKUP(M26, 'Campaign Metadata'!A:A, 'Campaign Metadata'!B:B), "Before", "During"), "Not Found")</f>
        <v>Before</v>
      </c>
      <c r="R26" s="13">
        <f>Posts__2[[#This Row],[Engagement]]/Posts__2[[#This Row],[Ad Spend]]</f>
        <v>0.21085093037842359</v>
      </c>
    </row>
    <row r="27" spans="1:18" x14ac:dyDescent="0.3">
      <c r="A27" t="s">
        <v>94</v>
      </c>
      <c r="B27" t="s">
        <v>31</v>
      </c>
      <c r="C27" s="1">
        <v>45602</v>
      </c>
      <c r="D27" t="s">
        <v>82</v>
      </c>
      <c r="E27" t="s">
        <v>83</v>
      </c>
      <c r="F27">
        <v>1606</v>
      </c>
      <c r="G27">
        <v>547</v>
      </c>
      <c r="H27">
        <v>316</v>
      </c>
      <c r="I27">
        <v>32120</v>
      </c>
      <c r="J27">
        <v>31736</v>
      </c>
      <c r="K27">
        <v>225</v>
      </c>
      <c r="L27" t="s">
        <v>53</v>
      </c>
      <c r="M27" t="s">
        <v>11</v>
      </c>
      <c r="N27" s="2">
        <f>(Posts__2[[#This Row],[Likes]]+Posts__2[[#This Row],[Shares]]+Posts__2[[#This Row],[Comments]])/Posts__2[[#This Row],[Impressions]]</f>
        <v>7.6867995018679955E-2</v>
      </c>
      <c r="O27" s="7">
        <f>Posts__2[[#This Row],[Likes]]+Posts__2[[#This Row],[Shares]]+Posts__2[[#This Row],[Comments]]</f>
        <v>2469</v>
      </c>
      <c r="P27" s="7">
        <f>_xlfn.XLOOKUP(Posts__2[[#This Row],[Platform]],'Engagement Summary'!B:B,'Engagement Summary'!G:G,"NA",0)</f>
        <v>9566</v>
      </c>
      <c r="Q27" t="str">
        <f>IFERROR(IF(C27 &lt; _xlfn.XLOOKUP(M27, 'Campaign Metadata'!A:A, 'Campaign Metadata'!B:B), "Before", "During"), "Not Found")</f>
        <v>During</v>
      </c>
      <c r="R27" s="13">
        <f>Posts__2[[#This Row],[Engagement]]/Posts__2[[#This Row],[Ad Spend]]</f>
        <v>0.25810160986828351</v>
      </c>
    </row>
    <row r="28" spans="1:18" x14ac:dyDescent="0.3">
      <c r="A28" t="s">
        <v>94</v>
      </c>
      <c r="B28" t="s">
        <v>31</v>
      </c>
      <c r="C28" s="1">
        <v>45602</v>
      </c>
      <c r="D28" t="s">
        <v>82</v>
      </c>
      <c r="E28" t="s">
        <v>83</v>
      </c>
      <c r="F28">
        <v>1606</v>
      </c>
      <c r="G28">
        <v>547</v>
      </c>
      <c r="H28">
        <v>316</v>
      </c>
      <c r="I28">
        <v>32120</v>
      </c>
      <c r="J28">
        <v>31736</v>
      </c>
      <c r="K28">
        <v>225</v>
      </c>
      <c r="L28" t="s">
        <v>49</v>
      </c>
      <c r="M28" t="s">
        <v>11</v>
      </c>
      <c r="N28" s="2">
        <f>(Posts__2[[#This Row],[Likes]]+Posts__2[[#This Row],[Shares]]+Posts__2[[#This Row],[Comments]])/Posts__2[[#This Row],[Impressions]]</f>
        <v>7.6867995018679955E-2</v>
      </c>
      <c r="O28" s="7">
        <f>Posts__2[[#This Row],[Likes]]+Posts__2[[#This Row],[Shares]]+Posts__2[[#This Row],[Comments]]</f>
        <v>2469</v>
      </c>
      <c r="P28" s="7">
        <f>_xlfn.XLOOKUP(Posts__2[[#This Row],[Platform]],'Engagement Summary'!B:B,'Engagement Summary'!G:G,"NA",0)</f>
        <v>9566</v>
      </c>
      <c r="Q28" t="str">
        <f>IFERROR(IF(C28 &lt; _xlfn.XLOOKUP(M28, 'Campaign Metadata'!A:A, 'Campaign Metadata'!B:B), "Before", "During"), "Not Found")</f>
        <v>During</v>
      </c>
      <c r="R28" s="13">
        <f>Posts__2[[#This Row],[Engagement]]/Posts__2[[#This Row],[Ad Spend]]</f>
        <v>0.25810160986828351</v>
      </c>
    </row>
    <row r="29" spans="1:18" x14ac:dyDescent="0.3">
      <c r="A29" t="s">
        <v>95</v>
      </c>
      <c r="B29" t="s">
        <v>31</v>
      </c>
      <c r="C29" s="1">
        <v>45680</v>
      </c>
      <c r="D29" t="s">
        <v>82</v>
      </c>
      <c r="E29" t="s">
        <v>83</v>
      </c>
      <c r="F29">
        <v>3961</v>
      </c>
      <c r="G29">
        <v>761</v>
      </c>
      <c r="H29">
        <v>131</v>
      </c>
      <c r="I29">
        <v>67337</v>
      </c>
      <c r="J29">
        <v>66615</v>
      </c>
      <c r="K29">
        <v>161</v>
      </c>
      <c r="L29" t="s">
        <v>48</v>
      </c>
      <c r="M29" t="s">
        <v>15</v>
      </c>
      <c r="N29" s="2">
        <f>(Posts__2[[#This Row],[Likes]]+Posts__2[[#This Row],[Shares]]+Posts__2[[#This Row],[Comments]])/Posts__2[[#This Row],[Impressions]]</f>
        <v>7.2070332803659209E-2</v>
      </c>
      <c r="O29" s="7">
        <f>Posts__2[[#This Row],[Likes]]+Posts__2[[#This Row],[Shares]]+Posts__2[[#This Row],[Comments]]</f>
        <v>4853</v>
      </c>
      <c r="P29" s="7">
        <f>_xlfn.XLOOKUP(Posts__2[[#This Row],[Platform]],'Engagement Summary'!B:B,'Engagement Summary'!G:G,"NA",0)</f>
        <v>9566</v>
      </c>
      <c r="Q29" t="str">
        <f>IFERROR(IF(C29 &lt; _xlfn.XLOOKUP(M29, 'Campaign Metadata'!A:A, 'Campaign Metadata'!B:B), "Before", "During"), "Not Found")</f>
        <v>During</v>
      </c>
      <c r="R29" s="13">
        <f>Posts__2[[#This Row],[Engagement]]/Posts__2[[#This Row],[Ad Spend]]</f>
        <v>0.50731758310683672</v>
      </c>
    </row>
    <row r="30" spans="1:18" x14ac:dyDescent="0.3">
      <c r="A30" t="s">
        <v>96</v>
      </c>
      <c r="B30" t="s">
        <v>32</v>
      </c>
      <c r="C30" s="1">
        <v>45757</v>
      </c>
      <c r="D30" t="s">
        <v>63</v>
      </c>
      <c r="E30" t="s">
        <v>66</v>
      </c>
      <c r="F30">
        <v>3128</v>
      </c>
      <c r="G30">
        <v>211</v>
      </c>
      <c r="H30">
        <v>197</v>
      </c>
      <c r="I30">
        <v>59432</v>
      </c>
      <c r="J30">
        <v>59182</v>
      </c>
      <c r="K30">
        <v>238</v>
      </c>
      <c r="L30" t="s">
        <v>60</v>
      </c>
      <c r="M30" t="s">
        <v>380</v>
      </c>
      <c r="N30" s="2">
        <f>(Posts__2[[#This Row],[Likes]]+Posts__2[[#This Row],[Shares]]+Posts__2[[#This Row],[Comments]])/Posts__2[[#This Row],[Impressions]]</f>
        <v>5.9496567505720827E-2</v>
      </c>
      <c r="O30" s="7">
        <f>Posts__2[[#This Row],[Likes]]+Posts__2[[#This Row],[Shares]]+Posts__2[[#This Row],[Comments]]</f>
        <v>3536</v>
      </c>
      <c r="P30" s="7">
        <f>_xlfn.XLOOKUP(Posts__2[[#This Row],[Platform]],'Engagement Summary'!B:B,'Engagement Summary'!G:G,"NA",0)</f>
        <v>26752</v>
      </c>
      <c r="Q30" t="str">
        <f>IFERROR(IF(C30 &lt; _xlfn.XLOOKUP(M30, 'Campaign Metadata'!A:A, 'Campaign Metadata'!B:B), "Before", "During"), "Not Found")</f>
        <v>Not Found</v>
      </c>
      <c r="R30" s="13">
        <f>Posts__2[[#This Row],[Engagement]]/Posts__2[[#This Row],[Ad Spend]]</f>
        <v>0.13217703349282298</v>
      </c>
    </row>
    <row r="31" spans="1:18" x14ac:dyDescent="0.3">
      <c r="A31" t="s">
        <v>97</v>
      </c>
      <c r="B31" t="s">
        <v>33</v>
      </c>
      <c r="C31" s="1">
        <v>45752</v>
      </c>
      <c r="D31" t="s">
        <v>46</v>
      </c>
      <c r="E31" t="s">
        <v>56</v>
      </c>
      <c r="F31">
        <v>3009</v>
      </c>
      <c r="G31">
        <v>413</v>
      </c>
      <c r="H31">
        <v>358</v>
      </c>
      <c r="I31">
        <v>42126</v>
      </c>
      <c r="J31">
        <v>41309</v>
      </c>
      <c r="K31">
        <v>211</v>
      </c>
      <c r="L31" t="s">
        <v>48</v>
      </c>
      <c r="M31" t="s">
        <v>11</v>
      </c>
      <c r="N31" s="2">
        <f>(Posts__2[[#This Row],[Likes]]+Posts__2[[#This Row],[Shares]]+Posts__2[[#This Row],[Comments]])/Posts__2[[#This Row],[Impressions]]</f>
        <v>8.9730807577268201E-2</v>
      </c>
      <c r="O31" s="7">
        <f>Posts__2[[#This Row],[Likes]]+Posts__2[[#This Row],[Shares]]+Posts__2[[#This Row],[Comments]]</f>
        <v>3780</v>
      </c>
      <c r="P31" s="7">
        <f>_xlfn.XLOOKUP(Posts__2[[#This Row],[Platform]],'Engagement Summary'!B:B,'Engagement Summary'!G:G,"NA",0)</f>
        <v>30671</v>
      </c>
      <c r="Q31" t="str">
        <f>IFERROR(IF(C31 &lt; _xlfn.XLOOKUP(M31, 'Campaign Metadata'!A:A, 'Campaign Metadata'!B:B), "Before", "During"), "Not Found")</f>
        <v>During</v>
      </c>
      <c r="R31" s="13">
        <f>Posts__2[[#This Row],[Engagement]]/Posts__2[[#This Row],[Ad Spend]]</f>
        <v>0.12324345472922305</v>
      </c>
    </row>
    <row r="32" spans="1:18" x14ac:dyDescent="0.3">
      <c r="A32" t="s">
        <v>98</v>
      </c>
      <c r="B32" t="s">
        <v>33</v>
      </c>
      <c r="C32" s="1">
        <v>45552</v>
      </c>
      <c r="D32" t="s">
        <v>51</v>
      </c>
      <c r="E32" t="s">
        <v>99</v>
      </c>
      <c r="F32">
        <v>2076</v>
      </c>
      <c r="G32">
        <v>195</v>
      </c>
      <c r="H32">
        <v>104</v>
      </c>
      <c r="I32">
        <v>33216</v>
      </c>
      <c r="J32">
        <v>32244</v>
      </c>
      <c r="K32">
        <v>51</v>
      </c>
      <c r="L32" t="s">
        <v>48</v>
      </c>
      <c r="M32" t="s">
        <v>19</v>
      </c>
      <c r="N32" s="2">
        <f>(Posts__2[[#This Row],[Likes]]+Posts__2[[#This Row],[Shares]]+Posts__2[[#This Row],[Comments]])/Posts__2[[#This Row],[Impressions]]</f>
        <v>7.1501685934489398E-2</v>
      </c>
      <c r="O32" s="7">
        <f>Posts__2[[#This Row],[Likes]]+Posts__2[[#This Row],[Shares]]+Posts__2[[#This Row],[Comments]]</f>
        <v>2375</v>
      </c>
      <c r="P32" s="7">
        <f>_xlfn.XLOOKUP(Posts__2[[#This Row],[Platform]],'Engagement Summary'!B:B,'Engagement Summary'!G:G,"NA",0)</f>
        <v>30671</v>
      </c>
      <c r="Q32" t="str">
        <f>IFERROR(IF(C32 &lt; _xlfn.XLOOKUP(M32, 'Campaign Metadata'!A:A, 'Campaign Metadata'!B:B), "Before", "During"), "Not Found")</f>
        <v>Before</v>
      </c>
      <c r="R32" s="13">
        <f>Posts__2[[#This Row],[Engagement]]/Posts__2[[#This Row],[Ad Spend]]</f>
        <v>7.7434710312673211E-2</v>
      </c>
    </row>
    <row r="33" spans="1:18" x14ac:dyDescent="0.3">
      <c r="A33" t="s">
        <v>100</v>
      </c>
      <c r="B33" t="s">
        <v>30</v>
      </c>
      <c r="C33" s="1">
        <v>45720</v>
      </c>
      <c r="D33" t="s">
        <v>82</v>
      </c>
      <c r="E33" t="s">
        <v>89</v>
      </c>
      <c r="F33">
        <v>432</v>
      </c>
      <c r="G33">
        <v>624</v>
      </c>
      <c r="H33">
        <v>123</v>
      </c>
      <c r="I33">
        <v>6912</v>
      </c>
      <c r="J33">
        <v>6259</v>
      </c>
      <c r="K33">
        <v>79</v>
      </c>
      <c r="L33" t="s">
        <v>48</v>
      </c>
      <c r="M33" t="s">
        <v>19</v>
      </c>
      <c r="N33" s="2">
        <f>(Posts__2[[#This Row],[Likes]]+Posts__2[[#This Row],[Shares]]+Posts__2[[#This Row],[Comments]])/Posts__2[[#This Row],[Impressions]]</f>
        <v>0.17057291666666666</v>
      </c>
      <c r="O33" s="7">
        <f>Posts__2[[#This Row],[Likes]]+Posts__2[[#This Row],[Shares]]+Posts__2[[#This Row],[Comments]]</f>
        <v>1179</v>
      </c>
      <c r="P33" s="7">
        <f>_xlfn.XLOOKUP(Posts__2[[#This Row],[Platform]],'Engagement Summary'!B:B,'Engagement Summary'!G:G,"NA",0)</f>
        <v>5904</v>
      </c>
      <c r="Q33" t="str">
        <f>IFERROR(IF(C33 &lt; _xlfn.XLOOKUP(M33, 'Campaign Metadata'!A:A, 'Campaign Metadata'!B:B), "Before", "During"), "Not Found")</f>
        <v>During</v>
      </c>
      <c r="R33" s="13">
        <f>Posts__2[[#This Row],[Engagement]]/Posts__2[[#This Row],[Ad Spend]]</f>
        <v>0.19969512195121952</v>
      </c>
    </row>
    <row r="34" spans="1:18" x14ac:dyDescent="0.3">
      <c r="A34" t="s">
        <v>101</v>
      </c>
      <c r="B34" t="s">
        <v>30</v>
      </c>
      <c r="C34" s="1">
        <v>45688</v>
      </c>
      <c r="D34" t="s">
        <v>63</v>
      </c>
      <c r="E34" t="s">
        <v>91</v>
      </c>
      <c r="F34">
        <v>2566</v>
      </c>
      <c r="G34">
        <v>118</v>
      </c>
      <c r="H34">
        <v>37</v>
      </c>
      <c r="I34">
        <v>12830</v>
      </c>
      <c r="J34">
        <v>12264</v>
      </c>
      <c r="K34">
        <v>221</v>
      </c>
      <c r="L34" t="s">
        <v>48</v>
      </c>
      <c r="M34" t="s">
        <v>15</v>
      </c>
      <c r="N34" s="2">
        <f>(Posts__2[[#This Row],[Likes]]+Posts__2[[#This Row],[Shares]]+Posts__2[[#This Row],[Comments]])/Posts__2[[#This Row],[Impressions]]</f>
        <v>0.21208106001558846</v>
      </c>
      <c r="O34" s="7">
        <f>Posts__2[[#This Row],[Likes]]+Posts__2[[#This Row],[Shares]]+Posts__2[[#This Row],[Comments]]</f>
        <v>2721</v>
      </c>
      <c r="P34" s="7">
        <f>_xlfn.XLOOKUP(Posts__2[[#This Row],[Platform]],'Engagement Summary'!B:B,'Engagement Summary'!G:G,"NA",0)</f>
        <v>5904</v>
      </c>
      <c r="Q34" t="str">
        <f>IFERROR(IF(C34 &lt; _xlfn.XLOOKUP(M34, 'Campaign Metadata'!A:A, 'Campaign Metadata'!B:B), "Before", "During"), "Not Found")</f>
        <v>During</v>
      </c>
      <c r="R34" s="13">
        <f>Posts__2[[#This Row],[Engagement]]/Posts__2[[#This Row],[Ad Spend]]</f>
        <v>0.4608739837398374</v>
      </c>
    </row>
    <row r="35" spans="1:18" x14ac:dyDescent="0.3">
      <c r="A35" t="s">
        <v>102</v>
      </c>
      <c r="B35" t="s">
        <v>30</v>
      </c>
      <c r="C35" s="1">
        <v>45713</v>
      </c>
      <c r="D35" t="s">
        <v>82</v>
      </c>
      <c r="E35" t="s">
        <v>89</v>
      </c>
      <c r="F35">
        <v>3095</v>
      </c>
      <c r="G35">
        <v>39</v>
      </c>
      <c r="H35">
        <v>78</v>
      </c>
      <c r="I35">
        <v>55710</v>
      </c>
      <c r="J35">
        <v>54808</v>
      </c>
      <c r="K35">
        <v>93</v>
      </c>
      <c r="L35" t="s">
        <v>60</v>
      </c>
      <c r="M35" t="s">
        <v>380</v>
      </c>
      <c r="N35" s="2">
        <f>(Posts__2[[#This Row],[Likes]]+Posts__2[[#This Row],[Shares]]+Posts__2[[#This Row],[Comments]])/Posts__2[[#This Row],[Impressions]]</f>
        <v>5.7655717106444085E-2</v>
      </c>
      <c r="O35" s="7">
        <f>Posts__2[[#This Row],[Likes]]+Posts__2[[#This Row],[Shares]]+Posts__2[[#This Row],[Comments]]</f>
        <v>3212</v>
      </c>
      <c r="P35" s="7">
        <f>_xlfn.XLOOKUP(Posts__2[[#This Row],[Platform]],'Engagement Summary'!B:B,'Engagement Summary'!G:G,"NA",0)</f>
        <v>5904</v>
      </c>
      <c r="Q35" t="str">
        <f>IFERROR(IF(C35 &lt; _xlfn.XLOOKUP(M35, 'Campaign Metadata'!A:A, 'Campaign Metadata'!B:B), "Before", "During"), "Not Found")</f>
        <v>Not Found</v>
      </c>
      <c r="R35" s="13">
        <f>Posts__2[[#This Row],[Engagement]]/Posts__2[[#This Row],[Ad Spend]]</f>
        <v>0.54403794037940378</v>
      </c>
    </row>
    <row r="36" spans="1:18" x14ac:dyDescent="0.3">
      <c r="A36" t="s">
        <v>103</v>
      </c>
      <c r="B36" t="s">
        <v>30</v>
      </c>
      <c r="C36" s="1">
        <v>45642</v>
      </c>
      <c r="D36" t="s">
        <v>51</v>
      </c>
      <c r="E36" t="s">
        <v>104</v>
      </c>
      <c r="F36">
        <v>438</v>
      </c>
      <c r="G36">
        <v>153</v>
      </c>
      <c r="H36">
        <v>275</v>
      </c>
      <c r="I36">
        <v>3066</v>
      </c>
      <c r="J36">
        <v>2701</v>
      </c>
      <c r="K36">
        <v>282</v>
      </c>
      <c r="L36" t="s">
        <v>53</v>
      </c>
      <c r="M36" t="s">
        <v>11</v>
      </c>
      <c r="N36" s="2">
        <f>(Posts__2[[#This Row],[Likes]]+Posts__2[[#This Row],[Shares]]+Posts__2[[#This Row],[Comments]])/Posts__2[[#This Row],[Impressions]]</f>
        <v>0.28245270711024134</v>
      </c>
      <c r="O36" s="7">
        <f>Posts__2[[#This Row],[Likes]]+Posts__2[[#This Row],[Shares]]+Posts__2[[#This Row],[Comments]]</f>
        <v>866</v>
      </c>
      <c r="P36" s="7">
        <f>_xlfn.XLOOKUP(Posts__2[[#This Row],[Platform]],'Engagement Summary'!B:B,'Engagement Summary'!G:G,"NA",0)</f>
        <v>5904</v>
      </c>
      <c r="Q36" t="str">
        <f>IFERROR(IF(C36 &lt; _xlfn.XLOOKUP(M36, 'Campaign Metadata'!A:A, 'Campaign Metadata'!B:B), "Before", "During"), "Not Found")</f>
        <v>During</v>
      </c>
      <c r="R36" s="13">
        <f>Posts__2[[#This Row],[Engagement]]/Posts__2[[#This Row],[Ad Spend]]</f>
        <v>0.14668021680216803</v>
      </c>
    </row>
    <row r="37" spans="1:18" x14ac:dyDescent="0.3">
      <c r="A37" t="s">
        <v>105</v>
      </c>
      <c r="B37" t="s">
        <v>32</v>
      </c>
      <c r="C37" s="1">
        <v>45504</v>
      </c>
      <c r="D37" t="s">
        <v>63</v>
      </c>
      <c r="E37" t="s">
        <v>66</v>
      </c>
      <c r="F37">
        <v>2278</v>
      </c>
      <c r="G37">
        <v>10</v>
      </c>
      <c r="H37">
        <v>321</v>
      </c>
      <c r="I37">
        <v>13668</v>
      </c>
      <c r="J37">
        <v>12676</v>
      </c>
      <c r="K37">
        <v>275</v>
      </c>
      <c r="L37" t="s">
        <v>60</v>
      </c>
      <c r="M37" t="s">
        <v>7</v>
      </c>
      <c r="N37" s="2">
        <f>(Posts__2[[#This Row],[Likes]]+Posts__2[[#This Row],[Shares]]+Posts__2[[#This Row],[Comments]])/Posts__2[[#This Row],[Impressions]]</f>
        <v>0.19088381621305239</v>
      </c>
      <c r="O37" s="7">
        <f>Posts__2[[#This Row],[Likes]]+Posts__2[[#This Row],[Shares]]+Posts__2[[#This Row],[Comments]]</f>
        <v>2609</v>
      </c>
      <c r="P37" s="7">
        <f>_xlfn.XLOOKUP(Posts__2[[#This Row],[Platform]],'Engagement Summary'!B:B,'Engagement Summary'!G:G,"NA",0)</f>
        <v>26752</v>
      </c>
      <c r="Q37" t="str">
        <f>IFERROR(IF(C37 &lt; _xlfn.XLOOKUP(M37, 'Campaign Metadata'!A:A, 'Campaign Metadata'!B:B), "Before", "During"), "Not Found")</f>
        <v>During</v>
      </c>
      <c r="R37" s="13">
        <f>Posts__2[[#This Row],[Engagement]]/Posts__2[[#This Row],[Ad Spend]]</f>
        <v>9.7525418660287078E-2</v>
      </c>
    </row>
    <row r="38" spans="1:18" x14ac:dyDescent="0.3">
      <c r="A38" t="s">
        <v>106</v>
      </c>
      <c r="B38" t="s">
        <v>31</v>
      </c>
      <c r="C38" s="1">
        <v>45525</v>
      </c>
      <c r="D38" t="s">
        <v>68</v>
      </c>
      <c r="E38" t="s">
        <v>73</v>
      </c>
      <c r="F38">
        <v>1407</v>
      </c>
      <c r="G38">
        <v>400</v>
      </c>
      <c r="H38">
        <v>351</v>
      </c>
      <c r="I38">
        <v>16884</v>
      </c>
      <c r="J38">
        <v>15954</v>
      </c>
      <c r="K38">
        <v>113</v>
      </c>
      <c r="L38" t="s">
        <v>53</v>
      </c>
      <c r="M38" t="s">
        <v>7</v>
      </c>
      <c r="N38" s="2">
        <f>(Posts__2[[#This Row],[Likes]]+Posts__2[[#This Row],[Shares]]+Posts__2[[#This Row],[Comments]])/Posts__2[[#This Row],[Impressions]]</f>
        <v>0.12781331438047855</v>
      </c>
      <c r="O38" s="7">
        <f>Posts__2[[#This Row],[Likes]]+Posts__2[[#This Row],[Shares]]+Posts__2[[#This Row],[Comments]]</f>
        <v>2158</v>
      </c>
      <c r="P38" s="7">
        <f>_xlfn.XLOOKUP(Posts__2[[#This Row],[Platform]],'Engagement Summary'!B:B,'Engagement Summary'!G:G,"NA",0)</f>
        <v>9566</v>
      </c>
      <c r="Q38" t="str">
        <f>IFERROR(IF(C38 &lt; _xlfn.XLOOKUP(M38, 'Campaign Metadata'!A:A, 'Campaign Metadata'!B:B), "Before", "During"), "Not Found")</f>
        <v>During</v>
      </c>
      <c r="R38" s="13">
        <f>Posts__2[[#This Row],[Engagement]]/Posts__2[[#This Row],[Ad Spend]]</f>
        <v>0.22559063349362324</v>
      </c>
    </row>
    <row r="39" spans="1:18" x14ac:dyDescent="0.3">
      <c r="A39" t="s">
        <v>107</v>
      </c>
      <c r="B39" t="s">
        <v>31</v>
      </c>
      <c r="C39" s="1">
        <v>45742</v>
      </c>
      <c r="D39" t="s">
        <v>51</v>
      </c>
      <c r="E39" t="s">
        <v>71</v>
      </c>
      <c r="F39">
        <v>1652</v>
      </c>
      <c r="G39">
        <v>89</v>
      </c>
      <c r="H39">
        <v>357</v>
      </c>
      <c r="I39">
        <v>29736</v>
      </c>
      <c r="J39">
        <v>28771</v>
      </c>
      <c r="K39">
        <v>215</v>
      </c>
      <c r="L39" t="s">
        <v>53</v>
      </c>
      <c r="M39" t="s">
        <v>15</v>
      </c>
      <c r="N39" s="2">
        <f>(Posts__2[[#This Row],[Likes]]+Posts__2[[#This Row],[Shares]]+Posts__2[[#This Row],[Comments]])/Posts__2[[#This Row],[Impressions]]</f>
        <v>7.055421038471886E-2</v>
      </c>
      <c r="O39" s="7">
        <f>Posts__2[[#This Row],[Likes]]+Posts__2[[#This Row],[Shares]]+Posts__2[[#This Row],[Comments]]</f>
        <v>2098</v>
      </c>
      <c r="P39" s="7">
        <f>_xlfn.XLOOKUP(Posts__2[[#This Row],[Platform]],'Engagement Summary'!B:B,'Engagement Summary'!G:G,"NA",0)</f>
        <v>9566</v>
      </c>
      <c r="Q39" t="str">
        <f>IFERROR(IF(C39 &lt; _xlfn.XLOOKUP(M39, 'Campaign Metadata'!A:A, 'Campaign Metadata'!B:B), "Before", "During"), "Not Found")</f>
        <v>During</v>
      </c>
      <c r="R39" s="13">
        <f>Posts__2[[#This Row],[Engagement]]/Posts__2[[#This Row],[Ad Spend]]</f>
        <v>0.21931841940204894</v>
      </c>
    </row>
    <row r="40" spans="1:18" x14ac:dyDescent="0.3">
      <c r="A40" t="s">
        <v>108</v>
      </c>
      <c r="B40" t="s">
        <v>30</v>
      </c>
      <c r="C40" s="1">
        <v>45626</v>
      </c>
      <c r="D40" t="s">
        <v>82</v>
      </c>
      <c r="E40" t="s">
        <v>89</v>
      </c>
      <c r="F40">
        <v>3775</v>
      </c>
      <c r="G40">
        <v>16</v>
      </c>
      <c r="H40">
        <v>239</v>
      </c>
      <c r="I40">
        <v>33975</v>
      </c>
      <c r="J40">
        <v>33310</v>
      </c>
      <c r="K40">
        <v>271</v>
      </c>
      <c r="L40" t="s">
        <v>48</v>
      </c>
      <c r="M40" t="s">
        <v>11</v>
      </c>
      <c r="N40" s="2">
        <f>(Posts__2[[#This Row],[Likes]]+Posts__2[[#This Row],[Shares]]+Posts__2[[#This Row],[Comments]])/Posts__2[[#This Row],[Impressions]]</f>
        <v>0.11861662987490802</v>
      </c>
      <c r="O40" s="7">
        <f>Posts__2[[#This Row],[Likes]]+Posts__2[[#This Row],[Shares]]+Posts__2[[#This Row],[Comments]]</f>
        <v>4030</v>
      </c>
      <c r="P40" s="7">
        <f>_xlfn.XLOOKUP(Posts__2[[#This Row],[Platform]],'Engagement Summary'!B:B,'Engagement Summary'!G:G,"NA",0)</f>
        <v>5904</v>
      </c>
      <c r="Q40" t="str">
        <f>IFERROR(IF(C40 &lt; _xlfn.XLOOKUP(M40, 'Campaign Metadata'!A:A, 'Campaign Metadata'!B:B), "Before", "During"), "Not Found")</f>
        <v>During</v>
      </c>
      <c r="R40" s="13">
        <f>Posts__2[[#This Row],[Engagement]]/Posts__2[[#This Row],[Ad Spend]]</f>
        <v>0.68258807588075876</v>
      </c>
    </row>
    <row r="41" spans="1:18" x14ac:dyDescent="0.3">
      <c r="A41" t="s">
        <v>109</v>
      </c>
      <c r="B41" t="s">
        <v>30</v>
      </c>
      <c r="C41" s="1">
        <v>45766</v>
      </c>
      <c r="D41" t="s">
        <v>58</v>
      </c>
      <c r="E41" t="s">
        <v>59</v>
      </c>
      <c r="F41">
        <v>4518</v>
      </c>
      <c r="G41">
        <v>285</v>
      </c>
      <c r="H41">
        <v>383</v>
      </c>
      <c r="I41">
        <v>67770</v>
      </c>
      <c r="J41">
        <v>67621</v>
      </c>
      <c r="K41">
        <v>31</v>
      </c>
      <c r="L41" t="s">
        <v>60</v>
      </c>
      <c r="M41" t="s">
        <v>11</v>
      </c>
      <c r="N41" s="2">
        <f>(Posts__2[[#This Row],[Likes]]+Posts__2[[#This Row],[Shares]]+Posts__2[[#This Row],[Comments]])/Posts__2[[#This Row],[Impressions]]</f>
        <v>7.6523535487678915E-2</v>
      </c>
      <c r="O41" s="7">
        <f>Posts__2[[#This Row],[Likes]]+Posts__2[[#This Row],[Shares]]+Posts__2[[#This Row],[Comments]]</f>
        <v>5186</v>
      </c>
      <c r="P41" s="7">
        <f>_xlfn.XLOOKUP(Posts__2[[#This Row],[Platform]],'Engagement Summary'!B:B,'Engagement Summary'!G:G,"NA",0)</f>
        <v>5904</v>
      </c>
      <c r="Q41" t="str">
        <f>IFERROR(IF(C41 &lt; _xlfn.XLOOKUP(M41, 'Campaign Metadata'!A:A, 'Campaign Metadata'!B:B), "Before", "During"), "Not Found")</f>
        <v>During</v>
      </c>
      <c r="R41" s="13">
        <f>Posts__2[[#This Row],[Engagement]]/Posts__2[[#This Row],[Ad Spend]]</f>
        <v>0.87838753387533874</v>
      </c>
    </row>
    <row r="42" spans="1:18" x14ac:dyDescent="0.3">
      <c r="A42" t="s">
        <v>110</v>
      </c>
      <c r="B42" t="s">
        <v>31</v>
      </c>
      <c r="C42" s="1">
        <v>45663</v>
      </c>
      <c r="D42" t="s">
        <v>63</v>
      </c>
      <c r="E42" t="s">
        <v>64</v>
      </c>
      <c r="F42">
        <v>3024</v>
      </c>
      <c r="G42">
        <v>925</v>
      </c>
      <c r="H42">
        <v>350</v>
      </c>
      <c r="I42">
        <v>24192</v>
      </c>
      <c r="J42">
        <v>23518</v>
      </c>
      <c r="K42">
        <v>36</v>
      </c>
      <c r="L42" t="s">
        <v>60</v>
      </c>
      <c r="M42" t="s">
        <v>11</v>
      </c>
      <c r="N42" s="2">
        <f>(Posts__2[[#This Row],[Likes]]+Posts__2[[#This Row],[Shares]]+Posts__2[[#This Row],[Comments]])/Posts__2[[#This Row],[Impressions]]</f>
        <v>0.17770337301587302</v>
      </c>
      <c r="O42" s="7">
        <f>Posts__2[[#This Row],[Likes]]+Posts__2[[#This Row],[Shares]]+Posts__2[[#This Row],[Comments]]</f>
        <v>4299</v>
      </c>
      <c r="P42" s="7">
        <f>_xlfn.XLOOKUP(Posts__2[[#This Row],[Platform]],'Engagement Summary'!B:B,'Engagement Summary'!G:G,"NA",0)</f>
        <v>9566</v>
      </c>
      <c r="Q42" t="str">
        <f>IFERROR(IF(C42 &lt; _xlfn.XLOOKUP(M42, 'Campaign Metadata'!A:A, 'Campaign Metadata'!B:B), "Before", "During"), "Not Found")</f>
        <v>During</v>
      </c>
      <c r="R42" s="13">
        <f>Posts__2[[#This Row],[Engagement]]/Posts__2[[#This Row],[Ad Spend]]</f>
        <v>0.44940413966130044</v>
      </c>
    </row>
    <row r="43" spans="1:18" x14ac:dyDescent="0.3">
      <c r="A43" t="s">
        <v>111</v>
      </c>
      <c r="B43" t="s">
        <v>33</v>
      </c>
      <c r="C43" s="1">
        <v>45705</v>
      </c>
      <c r="D43" t="s">
        <v>46</v>
      </c>
      <c r="E43" t="s">
        <v>56</v>
      </c>
      <c r="F43">
        <v>3138</v>
      </c>
      <c r="G43">
        <v>123</v>
      </c>
      <c r="H43">
        <v>291</v>
      </c>
      <c r="I43">
        <v>28242</v>
      </c>
      <c r="J43">
        <v>27550</v>
      </c>
      <c r="K43">
        <v>87</v>
      </c>
      <c r="L43" t="s">
        <v>53</v>
      </c>
      <c r="M43" t="s">
        <v>19</v>
      </c>
      <c r="N43" s="2">
        <f>(Posts__2[[#This Row],[Likes]]+Posts__2[[#This Row],[Shares]]+Posts__2[[#This Row],[Comments]])/Posts__2[[#This Row],[Impressions]]</f>
        <v>0.12577012959422137</v>
      </c>
      <c r="O43" s="7">
        <f>Posts__2[[#This Row],[Likes]]+Posts__2[[#This Row],[Shares]]+Posts__2[[#This Row],[Comments]]</f>
        <v>3552</v>
      </c>
      <c r="P43" s="7">
        <f>_xlfn.XLOOKUP(Posts__2[[#This Row],[Platform]],'Engagement Summary'!B:B,'Engagement Summary'!G:G,"NA",0)</f>
        <v>30671</v>
      </c>
      <c r="Q43" t="str">
        <f>IFERROR(IF(C43 &lt; _xlfn.XLOOKUP(M43, 'Campaign Metadata'!A:A, 'Campaign Metadata'!B:B), "Before", "During"), "Not Found")</f>
        <v>Before</v>
      </c>
      <c r="R43" s="13">
        <f>Posts__2[[#This Row],[Engagement]]/Posts__2[[#This Row],[Ad Spend]]</f>
        <v>0.11580972253920642</v>
      </c>
    </row>
    <row r="44" spans="1:18" x14ac:dyDescent="0.3">
      <c r="A44" t="s">
        <v>112</v>
      </c>
      <c r="B44" t="s">
        <v>31</v>
      </c>
      <c r="C44" s="1">
        <v>45621</v>
      </c>
      <c r="D44" t="s">
        <v>68</v>
      </c>
      <c r="E44" t="s">
        <v>73</v>
      </c>
      <c r="F44">
        <v>3564</v>
      </c>
      <c r="G44">
        <v>629</v>
      </c>
      <c r="H44">
        <v>177</v>
      </c>
      <c r="I44">
        <v>60588</v>
      </c>
      <c r="J44">
        <v>59627</v>
      </c>
      <c r="K44">
        <v>92</v>
      </c>
      <c r="L44" t="s">
        <v>53</v>
      </c>
      <c r="M44" t="s">
        <v>380</v>
      </c>
      <c r="N44" s="2">
        <f>(Posts__2[[#This Row],[Likes]]+Posts__2[[#This Row],[Shares]]+Posts__2[[#This Row],[Comments]])/Posts__2[[#This Row],[Impressions]]</f>
        <v>7.2126493695121141E-2</v>
      </c>
      <c r="O44" s="7">
        <f>Posts__2[[#This Row],[Likes]]+Posts__2[[#This Row],[Shares]]+Posts__2[[#This Row],[Comments]]</f>
        <v>4370</v>
      </c>
      <c r="P44" s="7">
        <f>_xlfn.XLOOKUP(Posts__2[[#This Row],[Platform]],'Engagement Summary'!B:B,'Engagement Summary'!G:G,"NA",0)</f>
        <v>9566</v>
      </c>
      <c r="Q44" t="str">
        <f>IFERROR(IF(C44 &lt; _xlfn.XLOOKUP(M44, 'Campaign Metadata'!A:A, 'Campaign Metadata'!B:B), "Before", "During"), "Not Found")</f>
        <v>Not Found</v>
      </c>
      <c r="R44" s="13">
        <f>Posts__2[[#This Row],[Engagement]]/Posts__2[[#This Row],[Ad Spend]]</f>
        <v>0.45682625966966339</v>
      </c>
    </row>
    <row r="45" spans="1:18" x14ac:dyDescent="0.3">
      <c r="A45" t="s">
        <v>113</v>
      </c>
      <c r="B45" t="s">
        <v>32</v>
      </c>
      <c r="C45" s="1">
        <v>45723</v>
      </c>
      <c r="D45" t="s">
        <v>68</v>
      </c>
      <c r="E45" t="s">
        <v>114</v>
      </c>
      <c r="F45">
        <v>4750</v>
      </c>
      <c r="G45">
        <v>151</v>
      </c>
      <c r="H45">
        <v>415</v>
      </c>
      <c r="I45">
        <v>38000</v>
      </c>
      <c r="J45">
        <v>37792</v>
      </c>
      <c r="K45">
        <v>299</v>
      </c>
      <c r="L45" t="s">
        <v>60</v>
      </c>
      <c r="M45" t="s">
        <v>19</v>
      </c>
      <c r="N45" s="2">
        <f>(Posts__2[[#This Row],[Likes]]+Posts__2[[#This Row],[Shares]]+Posts__2[[#This Row],[Comments]])/Posts__2[[#This Row],[Impressions]]</f>
        <v>0.13989473684210527</v>
      </c>
      <c r="O45" s="7">
        <f>Posts__2[[#This Row],[Likes]]+Posts__2[[#This Row],[Shares]]+Posts__2[[#This Row],[Comments]]</f>
        <v>5316</v>
      </c>
      <c r="P45" s="7">
        <f>_xlfn.XLOOKUP(Posts__2[[#This Row],[Platform]],'Engagement Summary'!B:B,'Engagement Summary'!G:G,"NA",0)</f>
        <v>26752</v>
      </c>
      <c r="Q45" t="str">
        <f>IFERROR(IF(C45 &lt; _xlfn.XLOOKUP(M45, 'Campaign Metadata'!A:A, 'Campaign Metadata'!B:B), "Before", "During"), "Not Found")</f>
        <v>During</v>
      </c>
      <c r="R45" s="13">
        <f>Posts__2[[#This Row],[Engagement]]/Posts__2[[#This Row],[Ad Spend]]</f>
        <v>0.1987141148325359</v>
      </c>
    </row>
    <row r="46" spans="1:18" x14ac:dyDescent="0.3">
      <c r="A46" t="s">
        <v>115</v>
      </c>
      <c r="B46" t="s">
        <v>30</v>
      </c>
      <c r="C46" s="1">
        <v>45724</v>
      </c>
      <c r="D46" t="s">
        <v>46</v>
      </c>
      <c r="E46" t="s">
        <v>87</v>
      </c>
      <c r="F46">
        <v>456</v>
      </c>
      <c r="G46">
        <v>629</v>
      </c>
      <c r="H46">
        <v>428</v>
      </c>
      <c r="I46">
        <v>8208</v>
      </c>
      <c r="J46">
        <v>7377</v>
      </c>
      <c r="K46">
        <v>205</v>
      </c>
      <c r="L46" t="s">
        <v>48</v>
      </c>
      <c r="M46" t="s">
        <v>19</v>
      </c>
      <c r="N46" s="2">
        <f>(Posts__2[[#This Row],[Likes]]+Posts__2[[#This Row],[Shares]]+Posts__2[[#This Row],[Comments]])/Posts__2[[#This Row],[Impressions]]</f>
        <v>0.18433235867446393</v>
      </c>
      <c r="O46" s="7">
        <f>Posts__2[[#This Row],[Likes]]+Posts__2[[#This Row],[Shares]]+Posts__2[[#This Row],[Comments]]</f>
        <v>1513</v>
      </c>
      <c r="P46" s="7">
        <f>_xlfn.XLOOKUP(Posts__2[[#This Row],[Platform]],'Engagement Summary'!B:B,'Engagement Summary'!G:G,"NA",0)</f>
        <v>5904</v>
      </c>
      <c r="Q46" t="str">
        <f>IFERROR(IF(C46 &lt; _xlfn.XLOOKUP(M46, 'Campaign Metadata'!A:A, 'Campaign Metadata'!B:B), "Before", "During"), "Not Found")</f>
        <v>During</v>
      </c>
      <c r="R46" s="13">
        <f>Posts__2[[#This Row],[Engagement]]/Posts__2[[#This Row],[Ad Spend]]</f>
        <v>0.25626693766937669</v>
      </c>
    </row>
    <row r="47" spans="1:18" x14ac:dyDescent="0.3">
      <c r="A47" t="s">
        <v>116</v>
      </c>
      <c r="B47" t="s">
        <v>33</v>
      </c>
      <c r="C47" s="1">
        <v>45721</v>
      </c>
      <c r="D47" t="s">
        <v>46</v>
      </c>
      <c r="E47" t="s">
        <v>56</v>
      </c>
      <c r="F47">
        <v>1543</v>
      </c>
      <c r="G47">
        <v>820</v>
      </c>
      <c r="H47">
        <v>333</v>
      </c>
      <c r="I47">
        <v>12344</v>
      </c>
      <c r="J47">
        <v>11496</v>
      </c>
      <c r="K47">
        <v>241</v>
      </c>
      <c r="L47" t="s">
        <v>60</v>
      </c>
      <c r="M47" t="s">
        <v>380</v>
      </c>
      <c r="N47" s="2">
        <f>(Posts__2[[#This Row],[Likes]]+Posts__2[[#This Row],[Shares]]+Posts__2[[#This Row],[Comments]])/Posts__2[[#This Row],[Impressions]]</f>
        <v>0.21840570317563188</v>
      </c>
      <c r="O47" s="7">
        <f>Posts__2[[#This Row],[Likes]]+Posts__2[[#This Row],[Shares]]+Posts__2[[#This Row],[Comments]]</f>
        <v>2696</v>
      </c>
      <c r="P47" s="7">
        <f>_xlfn.XLOOKUP(Posts__2[[#This Row],[Platform]],'Engagement Summary'!B:B,'Engagement Summary'!G:G,"NA",0)</f>
        <v>30671</v>
      </c>
      <c r="Q47" t="str">
        <f>IFERROR(IF(C47 &lt; _xlfn.XLOOKUP(M47, 'Campaign Metadata'!A:A, 'Campaign Metadata'!B:B), "Before", "During"), "Not Found")</f>
        <v>Not Found</v>
      </c>
      <c r="R47" s="13">
        <f>Posts__2[[#This Row],[Engagement]]/Posts__2[[#This Row],[Ad Spend]]</f>
        <v>8.7900622738091364E-2</v>
      </c>
    </row>
    <row r="48" spans="1:18" x14ac:dyDescent="0.3">
      <c r="A48" t="s">
        <v>117</v>
      </c>
      <c r="B48" t="s">
        <v>30</v>
      </c>
      <c r="C48" s="1">
        <v>45640</v>
      </c>
      <c r="D48" t="s">
        <v>63</v>
      </c>
      <c r="E48" t="s">
        <v>91</v>
      </c>
      <c r="F48">
        <v>2174</v>
      </c>
      <c r="G48">
        <v>658</v>
      </c>
      <c r="H48">
        <v>15</v>
      </c>
      <c r="I48">
        <v>13044</v>
      </c>
      <c r="J48">
        <v>12206</v>
      </c>
      <c r="K48">
        <v>137</v>
      </c>
      <c r="L48" t="s">
        <v>53</v>
      </c>
      <c r="M48" t="s">
        <v>15</v>
      </c>
      <c r="N48" s="2">
        <f>(Posts__2[[#This Row],[Likes]]+Posts__2[[#This Row],[Shares]]+Posts__2[[#This Row],[Comments]])/Posts__2[[#This Row],[Impressions]]</f>
        <v>0.21826126954921804</v>
      </c>
      <c r="O48" s="7">
        <f>Posts__2[[#This Row],[Likes]]+Posts__2[[#This Row],[Shares]]+Posts__2[[#This Row],[Comments]]</f>
        <v>2847</v>
      </c>
      <c r="P48" s="7">
        <f>_xlfn.XLOOKUP(Posts__2[[#This Row],[Platform]],'Engagement Summary'!B:B,'Engagement Summary'!G:G,"NA",0)</f>
        <v>5904</v>
      </c>
      <c r="Q48" t="str">
        <f>IFERROR(IF(C48 &lt; _xlfn.XLOOKUP(M48, 'Campaign Metadata'!A:A, 'Campaign Metadata'!B:B), "Before", "During"), "Not Found")</f>
        <v>Before</v>
      </c>
      <c r="R48" s="13">
        <f>Posts__2[[#This Row],[Engagement]]/Posts__2[[#This Row],[Ad Spend]]</f>
        <v>0.48221544715447157</v>
      </c>
    </row>
    <row r="49" spans="1:18" x14ac:dyDescent="0.3">
      <c r="A49" t="s">
        <v>118</v>
      </c>
      <c r="B49" t="s">
        <v>32</v>
      </c>
      <c r="C49" s="1">
        <v>45718</v>
      </c>
      <c r="D49" t="s">
        <v>68</v>
      </c>
      <c r="E49" t="s">
        <v>114</v>
      </c>
      <c r="F49">
        <v>2358</v>
      </c>
      <c r="G49">
        <v>784</v>
      </c>
      <c r="H49">
        <v>344</v>
      </c>
      <c r="I49">
        <v>35370</v>
      </c>
      <c r="J49">
        <v>34475</v>
      </c>
      <c r="K49">
        <v>216</v>
      </c>
      <c r="L49" t="s">
        <v>53</v>
      </c>
      <c r="M49" t="s">
        <v>380</v>
      </c>
      <c r="N49" s="2">
        <f>(Posts__2[[#This Row],[Likes]]+Posts__2[[#This Row],[Shares]]+Posts__2[[#This Row],[Comments]])/Posts__2[[#This Row],[Impressions]]</f>
        <v>9.8558100084817649E-2</v>
      </c>
      <c r="O49" s="7">
        <f>Posts__2[[#This Row],[Likes]]+Posts__2[[#This Row],[Shares]]+Posts__2[[#This Row],[Comments]]</f>
        <v>3486</v>
      </c>
      <c r="P49" s="7">
        <f>_xlfn.XLOOKUP(Posts__2[[#This Row],[Platform]],'Engagement Summary'!B:B,'Engagement Summary'!G:G,"NA",0)</f>
        <v>26752</v>
      </c>
      <c r="Q49" t="str">
        <f>IFERROR(IF(C49 &lt; _xlfn.XLOOKUP(M49, 'Campaign Metadata'!A:A, 'Campaign Metadata'!B:B), "Before", "During"), "Not Found")</f>
        <v>Not Found</v>
      </c>
      <c r="R49" s="13">
        <f>Posts__2[[#This Row],[Engagement]]/Posts__2[[#This Row],[Ad Spend]]</f>
        <v>0.130308014354067</v>
      </c>
    </row>
    <row r="50" spans="1:18" x14ac:dyDescent="0.3">
      <c r="A50" t="s">
        <v>119</v>
      </c>
      <c r="B50" t="s">
        <v>31</v>
      </c>
      <c r="C50" s="1">
        <v>45597</v>
      </c>
      <c r="D50" t="s">
        <v>82</v>
      </c>
      <c r="E50" t="s">
        <v>83</v>
      </c>
      <c r="F50">
        <v>3371</v>
      </c>
      <c r="G50">
        <v>106</v>
      </c>
      <c r="H50">
        <v>327</v>
      </c>
      <c r="I50">
        <v>50565</v>
      </c>
      <c r="J50">
        <v>49816</v>
      </c>
      <c r="K50">
        <v>176</v>
      </c>
      <c r="L50" t="s">
        <v>48</v>
      </c>
      <c r="M50" t="s">
        <v>7</v>
      </c>
      <c r="N50" s="2">
        <f>(Posts__2[[#This Row],[Likes]]+Posts__2[[#This Row],[Shares]]+Posts__2[[#This Row],[Comments]])/Posts__2[[#This Row],[Impressions]]</f>
        <v>7.5229902106199939E-2</v>
      </c>
      <c r="O50" s="7">
        <f>Posts__2[[#This Row],[Likes]]+Posts__2[[#This Row],[Shares]]+Posts__2[[#This Row],[Comments]]</f>
        <v>3804</v>
      </c>
      <c r="P50" s="7">
        <f>_xlfn.XLOOKUP(Posts__2[[#This Row],[Platform]],'Engagement Summary'!B:B,'Engagement Summary'!G:G,"NA",0)</f>
        <v>9566</v>
      </c>
      <c r="Q50" t="str">
        <f>IFERROR(IF(C50 &lt; _xlfn.XLOOKUP(M50, 'Campaign Metadata'!A:A, 'Campaign Metadata'!B:B), "Before", "During"), "Not Found")</f>
        <v>During</v>
      </c>
      <c r="R50" s="13">
        <f>Posts__2[[#This Row],[Engagement]]/Posts__2[[#This Row],[Ad Spend]]</f>
        <v>0.39765837340581223</v>
      </c>
    </row>
    <row r="51" spans="1:18" x14ac:dyDescent="0.3">
      <c r="A51" t="s">
        <v>120</v>
      </c>
      <c r="B51" t="s">
        <v>32</v>
      </c>
      <c r="C51" s="1">
        <v>45779</v>
      </c>
      <c r="D51" t="s">
        <v>82</v>
      </c>
      <c r="E51" t="s">
        <v>121</v>
      </c>
      <c r="F51">
        <v>1108</v>
      </c>
      <c r="G51">
        <v>177</v>
      </c>
      <c r="H51">
        <v>212</v>
      </c>
      <c r="I51">
        <v>8864</v>
      </c>
      <c r="J51">
        <v>8710</v>
      </c>
      <c r="K51">
        <v>97</v>
      </c>
      <c r="L51" t="s">
        <v>53</v>
      </c>
      <c r="M51" t="s">
        <v>19</v>
      </c>
      <c r="N51" s="2">
        <f>(Posts__2[[#This Row],[Likes]]+Posts__2[[#This Row],[Shares]]+Posts__2[[#This Row],[Comments]])/Posts__2[[#This Row],[Impressions]]</f>
        <v>0.16888537906137185</v>
      </c>
      <c r="O51" s="7">
        <f>Posts__2[[#This Row],[Likes]]+Posts__2[[#This Row],[Shares]]+Posts__2[[#This Row],[Comments]]</f>
        <v>1497</v>
      </c>
      <c r="P51" s="7">
        <f>_xlfn.XLOOKUP(Posts__2[[#This Row],[Platform]],'Engagement Summary'!B:B,'Engagement Summary'!G:G,"NA",0)</f>
        <v>26752</v>
      </c>
      <c r="Q51" t="str">
        <f>IFERROR(IF(C51 &lt; _xlfn.XLOOKUP(M51, 'Campaign Metadata'!A:A, 'Campaign Metadata'!B:B), "Before", "During"), "Not Found")</f>
        <v>During</v>
      </c>
      <c r="R51" s="13">
        <f>Posts__2[[#This Row],[Engagement]]/Posts__2[[#This Row],[Ad Spend]]</f>
        <v>5.5958433014354068E-2</v>
      </c>
    </row>
    <row r="52" spans="1:18" x14ac:dyDescent="0.3">
      <c r="A52" t="s">
        <v>122</v>
      </c>
      <c r="B52" t="s">
        <v>32</v>
      </c>
      <c r="C52" s="1">
        <v>45712</v>
      </c>
      <c r="D52" t="s">
        <v>63</v>
      </c>
      <c r="E52" t="s">
        <v>66</v>
      </c>
      <c r="F52">
        <v>2704</v>
      </c>
      <c r="G52">
        <v>752</v>
      </c>
      <c r="H52">
        <v>153</v>
      </c>
      <c r="I52">
        <v>21632</v>
      </c>
      <c r="J52">
        <v>20792</v>
      </c>
      <c r="K52">
        <v>127</v>
      </c>
      <c r="L52" t="s">
        <v>48</v>
      </c>
      <c r="M52" t="s">
        <v>380</v>
      </c>
      <c r="N52" s="2">
        <f>(Posts__2[[#This Row],[Likes]]+Posts__2[[#This Row],[Shares]]+Posts__2[[#This Row],[Comments]])/Posts__2[[#This Row],[Impressions]]</f>
        <v>0.16683616863905326</v>
      </c>
      <c r="O52" s="7">
        <f>Posts__2[[#This Row],[Likes]]+Posts__2[[#This Row],[Shares]]+Posts__2[[#This Row],[Comments]]</f>
        <v>3609</v>
      </c>
      <c r="P52" s="7">
        <f>_xlfn.XLOOKUP(Posts__2[[#This Row],[Platform]],'Engagement Summary'!B:B,'Engagement Summary'!G:G,"NA",0)</f>
        <v>26752</v>
      </c>
      <c r="Q52" t="str">
        <f>IFERROR(IF(C52 &lt; _xlfn.XLOOKUP(M52, 'Campaign Metadata'!A:A, 'Campaign Metadata'!B:B), "Before", "During"), "Not Found")</f>
        <v>Not Found</v>
      </c>
      <c r="R52" s="13">
        <f>Posts__2[[#This Row],[Engagement]]/Posts__2[[#This Row],[Ad Spend]]</f>
        <v>0.1349058014354067</v>
      </c>
    </row>
    <row r="53" spans="1:18" x14ac:dyDescent="0.3">
      <c r="A53" t="s">
        <v>123</v>
      </c>
      <c r="B53" t="s">
        <v>32</v>
      </c>
      <c r="C53" s="1">
        <v>45727</v>
      </c>
      <c r="D53" t="s">
        <v>58</v>
      </c>
      <c r="E53" t="s">
        <v>124</v>
      </c>
      <c r="F53">
        <v>1950</v>
      </c>
      <c r="G53">
        <v>295</v>
      </c>
      <c r="H53">
        <v>478</v>
      </c>
      <c r="I53">
        <v>37050</v>
      </c>
      <c r="J53">
        <v>36272</v>
      </c>
      <c r="K53">
        <v>119</v>
      </c>
      <c r="L53" t="s">
        <v>53</v>
      </c>
      <c r="M53" t="s">
        <v>380</v>
      </c>
      <c r="N53" s="2">
        <f>(Posts__2[[#This Row],[Likes]]+Posts__2[[#This Row],[Shares]]+Posts__2[[#This Row],[Comments]])/Posts__2[[#This Row],[Impressions]]</f>
        <v>7.349527665317139E-2</v>
      </c>
      <c r="O53" s="7">
        <f>Posts__2[[#This Row],[Likes]]+Posts__2[[#This Row],[Shares]]+Posts__2[[#This Row],[Comments]]</f>
        <v>2723</v>
      </c>
      <c r="P53" s="7">
        <f>_xlfn.XLOOKUP(Posts__2[[#This Row],[Platform]],'Engagement Summary'!B:B,'Engagement Summary'!G:G,"NA",0)</f>
        <v>26752</v>
      </c>
      <c r="Q53" t="str">
        <f>IFERROR(IF(C53 &lt; _xlfn.XLOOKUP(M53, 'Campaign Metadata'!A:A, 'Campaign Metadata'!B:B), "Before", "During"), "Not Found")</f>
        <v>Not Found</v>
      </c>
      <c r="R53" s="13">
        <f>Posts__2[[#This Row],[Engagement]]/Posts__2[[#This Row],[Ad Spend]]</f>
        <v>0.10178678229665072</v>
      </c>
    </row>
    <row r="54" spans="1:18" x14ac:dyDescent="0.3">
      <c r="A54" t="s">
        <v>125</v>
      </c>
      <c r="B54" t="s">
        <v>32</v>
      </c>
      <c r="C54" s="1">
        <v>45453</v>
      </c>
      <c r="D54" t="s">
        <v>58</v>
      </c>
      <c r="E54" t="s">
        <v>124</v>
      </c>
      <c r="F54">
        <v>2164</v>
      </c>
      <c r="G54">
        <v>549</v>
      </c>
      <c r="H54">
        <v>274</v>
      </c>
      <c r="I54">
        <v>28132</v>
      </c>
      <c r="J54">
        <v>27361</v>
      </c>
      <c r="K54">
        <v>177</v>
      </c>
      <c r="L54" t="s">
        <v>53</v>
      </c>
      <c r="M54" t="s">
        <v>19</v>
      </c>
      <c r="N54" s="2">
        <f>(Posts__2[[#This Row],[Likes]]+Posts__2[[#This Row],[Shares]]+Posts__2[[#This Row],[Comments]])/Posts__2[[#This Row],[Impressions]]</f>
        <v>0.10617801791554102</v>
      </c>
      <c r="O54" s="7">
        <f>Posts__2[[#This Row],[Likes]]+Posts__2[[#This Row],[Shares]]+Posts__2[[#This Row],[Comments]]</f>
        <v>2987</v>
      </c>
      <c r="P54" s="7">
        <f>_xlfn.XLOOKUP(Posts__2[[#This Row],[Platform]],'Engagement Summary'!B:B,'Engagement Summary'!G:G,"NA",0)</f>
        <v>26752</v>
      </c>
      <c r="Q54" t="str">
        <f>IFERROR(IF(C54 &lt; _xlfn.XLOOKUP(M54, 'Campaign Metadata'!A:A, 'Campaign Metadata'!B:B), "Before", "During"), "Not Found")</f>
        <v>Before</v>
      </c>
      <c r="R54" s="13">
        <f>Posts__2[[#This Row],[Engagement]]/Posts__2[[#This Row],[Ad Spend]]</f>
        <v>0.11165520334928229</v>
      </c>
    </row>
    <row r="55" spans="1:18" x14ac:dyDescent="0.3">
      <c r="A55" t="s">
        <v>126</v>
      </c>
      <c r="B55" t="s">
        <v>33</v>
      </c>
      <c r="C55" s="1">
        <v>45476</v>
      </c>
      <c r="D55" t="s">
        <v>58</v>
      </c>
      <c r="E55" t="s">
        <v>127</v>
      </c>
      <c r="F55">
        <v>2754</v>
      </c>
      <c r="G55">
        <v>130</v>
      </c>
      <c r="H55">
        <v>90</v>
      </c>
      <c r="I55">
        <v>22032</v>
      </c>
      <c r="J55">
        <v>21288</v>
      </c>
      <c r="K55">
        <v>112</v>
      </c>
      <c r="L55" t="s">
        <v>53</v>
      </c>
      <c r="M55" t="s">
        <v>15</v>
      </c>
      <c r="N55" s="2">
        <f>(Posts__2[[#This Row],[Likes]]+Posts__2[[#This Row],[Shares]]+Posts__2[[#This Row],[Comments]])/Posts__2[[#This Row],[Impressions]]</f>
        <v>0.13498547567175018</v>
      </c>
      <c r="O55" s="7">
        <f>Posts__2[[#This Row],[Likes]]+Posts__2[[#This Row],[Shares]]+Posts__2[[#This Row],[Comments]]</f>
        <v>2974</v>
      </c>
      <c r="P55" s="7">
        <f>_xlfn.XLOOKUP(Posts__2[[#This Row],[Platform]],'Engagement Summary'!B:B,'Engagement Summary'!G:G,"NA",0)</f>
        <v>30671</v>
      </c>
      <c r="Q55" t="str">
        <f>IFERROR(IF(C55 &lt; _xlfn.XLOOKUP(M55, 'Campaign Metadata'!A:A, 'Campaign Metadata'!B:B), "Before", "During"), "Not Found")</f>
        <v>Before</v>
      </c>
      <c r="R55" s="13">
        <f>Posts__2[[#This Row],[Engagement]]/Posts__2[[#This Row],[Ad Spend]]</f>
        <v>9.6964559355743205E-2</v>
      </c>
    </row>
    <row r="56" spans="1:18" x14ac:dyDescent="0.3">
      <c r="A56" t="s">
        <v>128</v>
      </c>
      <c r="B56" t="s">
        <v>31</v>
      </c>
      <c r="C56" s="1">
        <v>45456</v>
      </c>
      <c r="D56" t="s">
        <v>63</v>
      </c>
      <c r="E56" t="s">
        <v>64</v>
      </c>
      <c r="F56">
        <v>2200</v>
      </c>
      <c r="G56">
        <v>504</v>
      </c>
      <c r="H56">
        <v>239</v>
      </c>
      <c r="I56">
        <v>37400</v>
      </c>
      <c r="J56">
        <v>36938</v>
      </c>
      <c r="K56">
        <v>225</v>
      </c>
      <c r="L56" t="s">
        <v>48</v>
      </c>
      <c r="M56" t="s">
        <v>11</v>
      </c>
      <c r="N56" s="2">
        <f>(Posts__2[[#This Row],[Likes]]+Posts__2[[#This Row],[Shares]]+Posts__2[[#This Row],[Comments]])/Posts__2[[#This Row],[Impressions]]</f>
        <v>7.8689839572192513E-2</v>
      </c>
      <c r="O56" s="7">
        <f>Posts__2[[#This Row],[Likes]]+Posts__2[[#This Row],[Shares]]+Posts__2[[#This Row],[Comments]]</f>
        <v>2943</v>
      </c>
      <c r="P56" s="7">
        <f>_xlfn.XLOOKUP(Posts__2[[#This Row],[Platform]],'Engagement Summary'!B:B,'Engagement Summary'!G:G,"NA",0)</f>
        <v>9566</v>
      </c>
      <c r="Q56" t="str">
        <f>IFERROR(IF(C56 &lt; _xlfn.XLOOKUP(M56, 'Campaign Metadata'!A:A, 'Campaign Metadata'!B:B), "Before", "During"), "Not Found")</f>
        <v>Before</v>
      </c>
      <c r="R56" s="13">
        <f>Posts__2[[#This Row],[Engagement]]/Posts__2[[#This Row],[Ad Spend]]</f>
        <v>0.30765210119172065</v>
      </c>
    </row>
    <row r="57" spans="1:18" x14ac:dyDescent="0.3">
      <c r="A57" t="s">
        <v>129</v>
      </c>
      <c r="B57" t="s">
        <v>31</v>
      </c>
      <c r="C57" s="1">
        <v>45660</v>
      </c>
      <c r="D57" t="s">
        <v>68</v>
      </c>
      <c r="E57" t="s">
        <v>73</v>
      </c>
      <c r="F57">
        <v>947</v>
      </c>
      <c r="G57">
        <v>338</v>
      </c>
      <c r="H57">
        <v>350</v>
      </c>
      <c r="I57">
        <v>10417</v>
      </c>
      <c r="J57">
        <v>9730</v>
      </c>
      <c r="K57">
        <v>34</v>
      </c>
      <c r="L57" t="s">
        <v>53</v>
      </c>
      <c r="M57" t="s">
        <v>19</v>
      </c>
      <c r="N57" s="2">
        <f>(Posts__2[[#This Row],[Likes]]+Posts__2[[#This Row],[Shares]]+Posts__2[[#This Row],[Comments]])/Posts__2[[#This Row],[Impressions]]</f>
        <v>0.1569549774407219</v>
      </c>
      <c r="O57" s="7">
        <f>Posts__2[[#This Row],[Likes]]+Posts__2[[#This Row],[Shares]]+Posts__2[[#This Row],[Comments]]</f>
        <v>1635</v>
      </c>
      <c r="P57" s="7">
        <f>_xlfn.XLOOKUP(Posts__2[[#This Row],[Platform]],'Engagement Summary'!B:B,'Engagement Summary'!G:G,"NA",0)</f>
        <v>9566</v>
      </c>
      <c r="Q57" t="str">
        <f>IFERROR(IF(C57 &lt; _xlfn.XLOOKUP(M57, 'Campaign Metadata'!A:A, 'Campaign Metadata'!B:B), "Before", "During"), "Not Found")</f>
        <v>Before</v>
      </c>
      <c r="R57" s="13">
        <f>Posts__2[[#This Row],[Engagement]]/Posts__2[[#This Row],[Ad Spend]]</f>
        <v>0.17091783399540036</v>
      </c>
    </row>
    <row r="58" spans="1:18" x14ac:dyDescent="0.3">
      <c r="A58" t="s">
        <v>130</v>
      </c>
      <c r="B58" t="s">
        <v>33</v>
      </c>
      <c r="C58" s="1">
        <v>45712</v>
      </c>
      <c r="D58" t="s">
        <v>63</v>
      </c>
      <c r="E58" t="s">
        <v>78</v>
      </c>
      <c r="F58">
        <v>804</v>
      </c>
      <c r="G58">
        <v>639</v>
      </c>
      <c r="H58">
        <v>43</v>
      </c>
      <c r="I58">
        <v>4020</v>
      </c>
      <c r="J58">
        <v>3144</v>
      </c>
      <c r="K58">
        <v>11</v>
      </c>
      <c r="L58" t="s">
        <v>60</v>
      </c>
      <c r="M58" t="s">
        <v>380</v>
      </c>
      <c r="N58" s="2">
        <f>(Posts__2[[#This Row],[Likes]]+Posts__2[[#This Row],[Shares]]+Posts__2[[#This Row],[Comments]])/Posts__2[[#This Row],[Impressions]]</f>
        <v>0.36965174129353234</v>
      </c>
      <c r="O58" s="7">
        <f>Posts__2[[#This Row],[Likes]]+Posts__2[[#This Row],[Shares]]+Posts__2[[#This Row],[Comments]]</f>
        <v>1486</v>
      </c>
      <c r="P58" s="7">
        <f>_xlfn.XLOOKUP(Posts__2[[#This Row],[Platform]],'Engagement Summary'!B:B,'Engagement Summary'!G:G,"NA",0)</f>
        <v>30671</v>
      </c>
      <c r="Q58" t="str">
        <f>IFERROR(IF(C58 &lt; _xlfn.XLOOKUP(M58, 'Campaign Metadata'!A:A, 'Campaign Metadata'!B:B), "Before", "During"), "Not Found")</f>
        <v>Not Found</v>
      </c>
      <c r="R58" s="13">
        <f>Posts__2[[#This Row],[Engagement]]/Posts__2[[#This Row],[Ad Spend]]</f>
        <v>4.8449675589318904E-2</v>
      </c>
    </row>
    <row r="59" spans="1:18" x14ac:dyDescent="0.3">
      <c r="A59" t="s">
        <v>130</v>
      </c>
      <c r="B59" t="s">
        <v>33</v>
      </c>
      <c r="C59" s="1">
        <v>45712</v>
      </c>
      <c r="D59" t="s">
        <v>63</v>
      </c>
      <c r="E59" t="s">
        <v>78</v>
      </c>
      <c r="F59">
        <v>804</v>
      </c>
      <c r="G59">
        <v>639</v>
      </c>
      <c r="H59">
        <v>43</v>
      </c>
      <c r="I59">
        <v>4020</v>
      </c>
      <c r="J59">
        <v>3144</v>
      </c>
      <c r="K59">
        <v>11</v>
      </c>
      <c r="L59" t="s">
        <v>54</v>
      </c>
      <c r="M59" t="s">
        <v>380</v>
      </c>
      <c r="N59" s="2">
        <f>(Posts__2[[#This Row],[Likes]]+Posts__2[[#This Row],[Shares]]+Posts__2[[#This Row],[Comments]])/Posts__2[[#This Row],[Impressions]]</f>
        <v>0.36965174129353234</v>
      </c>
      <c r="O59" s="7">
        <f>Posts__2[[#This Row],[Likes]]+Posts__2[[#This Row],[Shares]]+Posts__2[[#This Row],[Comments]]</f>
        <v>1486</v>
      </c>
      <c r="P59" s="7">
        <f>_xlfn.XLOOKUP(Posts__2[[#This Row],[Platform]],'Engagement Summary'!B:B,'Engagement Summary'!G:G,"NA",0)</f>
        <v>30671</v>
      </c>
      <c r="Q59" t="str">
        <f>IFERROR(IF(C59 &lt; _xlfn.XLOOKUP(M59, 'Campaign Metadata'!A:A, 'Campaign Metadata'!B:B), "Before", "During"), "Not Found")</f>
        <v>Not Found</v>
      </c>
      <c r="R59" s="13">
        <f>Posts__2[[#This Row],[Engagement]]/Posts__2[[#This Row],[Ad Spend]]</f>
        <v>4.8449675589318904E-2</v>
      </c>
    </row>
    <row r="60" spans="1:18" x14ac:dyDescent="0.3">
      <c r="A60" t="s">
        <v>131</v>
      </c>
      <c r="B60" t="s">
        <v>33</v>
      </c>
      <c r="C60" s="1">
        <v>45729</v>
      </c>
      <c r="D60" t="s">
        <v>63</v>
      </c>
      <c r="E60" t="s">
        <v>78</v>
      </c>
      <c r="F60">
        <v>1686</v>
      </c>
      <c r="G60">
        <v>904</v>
      </c>
      <c r="H60">
        <v>472</v>
      </c>
      <c r="I60">
        <v>18546</v>
      </c>
      <c r="J60">
        <v>18171</v>
      </c>
      <c r="K60">
        <v>52</v>
      </c>
      <c r="L60" t="s">
        <v>48</v>
      </c>
      <c r="M60" t="s">
        <v>11</v>
      </c>
      <c r="N60" s="2">
        <f>(Posts__2[[#This Row],[Likes]]+Posts__2[[#This Row],[Shares]]+Posts__2[[#This Row],[Comments]])/Posts__2[[#This Row],[Impressions]]</f>
        <v>0.16510298716704411</v>
      </c>
      <c r="O60" s="7">
        <f>Posts__2[[#This Row],[Likes]]+Posts__2[[#This Row],[Shares]]+Posts__2[[#This Row],[Comments]]</f>
        <v>3062</v>
      </c>
      <c r="P60" s="7">
        <f>_xlfn.XLOOKUP(Posts__2[[#This Row],[Platform]],'Engagement Summary'!B:B,'Engagement Summary'!G:G,"NA",0)</f>
        <v>30671</v>
      </c>
      <c r="Q60" t="str">
        <f>IFERROR(IF(C60 &lt; _xlfn.XLOOKUP(M60, 'Campaign Metadata'!A:A, 'Campaign Metadata'!B:B), "Before", "During"), "Not Found")</f>
        <v>During</v>
      </c>
      <c r="R60" s="13">
        <f>Posts__2[[#This Row],[Engagement]]/Posts__2[[#This Row],[Ad Spend]]</f>
        <v>9.9833719148381211E-2</v>
      </c>
    </row>
    <row r="61" spans="1:18" x14ac:dyDescent="0.3">
      <c r="A61" t="s">
        <v>132</v>
      </c>
      <c r="B61" t="s">
        <v>31</v>
      </c>
      <c r="C61" s="1">
        <v>45460</v>
      </c>
      <c r="D61" t="s">
        <v>68</v>
      </c>
      <c r="E61" t="s">
        <v>73</v>
      </c>
      <c r="F61">
        <v>1226</v>
      </c>
      <c r="G61">
        <v>119</v>
      </c>
      <c r="H61">
        <v>7</v>
      </c>
      <c r="I61">
        <v>14712</v>
      </c>
      <c r="J61">
        <v>14049</v>
      </c>
      <c r="K61">
        <v>123</v>
      </c>
      <c r="L61" t="s">
        <v>60</v>
      </c>
      <c r="M61" t="s">
        <v>19</v>
      </c>
      <c r="N61" s="2">
        <f>(Posts__2[[#This Row],[Likes]]+Posts__2[[#This Row],[Shares]]+Posts__2[[#This Row],[Comments]])/Posts__2[[#This Row],[Impressions]]</f>
        <v>9.1897770527460579E-2</v>
      </c>
      <c r="O61" s="7">
        <f>Posts__2[[#This Row],[Likes]]+Posts__2[[#This Row],[Shares]]+Posts__2[[#This Row],[Comments]]</f>
        <v>1352</v>
      </c>
      <c r="P61" s="7">
        <f>_xlfn.XLOOKUP(Posts__2[[#This Row],[Platform]],'Engagement Summary'!B:B,'Engagement Summary'!G:G,"NA",0)</f>
        <v>9566</v>
      </c>
      <c r="Q61" t="str">
        <f>IFERROR(IF(C61 &lt; _xlfn.XLOOKUP(M61, 'Campaign Metadata'!A:A, 'Campaign Metadata'!B:B), "Before", "During"), "Not Found")</f>
        <v>Before</v>
      </c>
      <c r="R61" s="13">
        <f>Posts__2[[#This Row],[Engagement]]/Posts__2[[#This Row],[Ad Spend]]</f>
        <v>0.14133389086347481</v>
      </c>
    </row>
    <row r="62" spans="1:18" x14ac:dyDescent="0.3">
      <c r="A62" t="s">
        <v>133</v>
      </c>
      <c r="B62" t="s">
        <v>31</v>
      </c>
      <c r="C62" s="1">
        <v>45644</v>
      </c>
      <c r="D62" t="s">
        <v>63</v>
      </c>
      <c r="E62" t="s">
        <v>64</v>
      </c>
      <c r="F62">
        <v>2946</v>
      </c>
      <c r="G62">
        <v>498</v>
      </c>
      <c r="H62">
        <v>367</v>
      </c>
      <c r="I62">
        <v>29460</v>
      </c>
      <c r="J62">
        <v>28527</v>
      </c>
      <c r="K62">
        <v>60</v>
      </c>
      <c r="L62" t="s">
        <v>48</v>
      </c>
      <c r="M62" t="s">
        <v>15</v>
      </c>
      <c r="N62" s="2">
        <f>(Posts__2[[#This Row],[Likes]]+Posts__2[[#This Row],[Shares]]+Posts__2[[#This Row],[Comments]])/Posts__2[[#This Row],[Impressions]]</f>
        <v>0.12936184657162253</v>
      </c>
      <c r="O62" s="7">
        <f>Posts__2[[#This Row],[Likes]]+Posts__2[[#This Row],[Shares]]+Posts__2[[#This Row],[Comments]]</f>
        <v>3811</v>
      </c>
      <c r="P62" s="7">
        <f>_xlfn.XLOOKUP(Posts__2[[#This Row],[Platform]],'Engagement Summary'!B:B,'Engagement Summary'!G:G,"NA",0)</f>
        <v>9566</v>
      </c>
      <c r="Q62" t="str">
        <f>IFERROR(IF(C62 &lt; _xlfn.XLOOKUP(M62, 'Campaign Metadata'!A:A, 'Campaign Metadata'!B:B), "Before", "During"), "Not Found")</f>
        <v>Before</v>
      </c>
      <c r="R62" s="13">
        <f>Posts__2[[#This Row],[Engagement]]/Posts__2[[#This Row],[Ad Spend]]</f>
        <v>0.3983901317164959</v>
      </c>
    </row>
    <row r="63" spans="1:18" x14ac:dyDescent="0.3">
      <c r="A63" t="s">
        <v>134</v>
      </c>
      <c r="B63" t="s">
        <v>32</v>
      </c>
      <c r="C63" s="1">
        <v>45586</v>
      </c>
      <c r="D63" t="s">
        <v>82</v>
      </c>
      <c r="E63" t="s">
        <v>121</v>
      </c>
      <c r="F63">
        <v>2825</v>
      </c>
      <c r="G63">
        <v>535</v>
      </c>
      <c r="H63">
        <v>295</v>
      </c>
      <c r="I63">
        <v>45200</v>
      </c>
      <c r="J63">
        <v>44739</v>
      </c>
      <c r="K63">
        <v>169</v>
      </c>
      <c r="L63" t="s">
        <v>53</v>
      </c>
      <c r="M63" t="s">
        <v>7</v>
      </c>
      <c r="N63" s="2">
        <f>(Posts__2[[#This Row],[Likes]]+Posts__2[[#This Row],[Shares]]+Posts__2[[#This Row],[Comments]])/Posts__2[[#This Row],[Impressions]]</f>
        <v>8.0862831858407078E-2</v>
      </c>
      <c r="O63" s="7">
        <f>Posts__2[[#This Row],[Likes]]+Posts__2[[#This Row],[Shares]]+Posts__2[[#This Row],[Comments]]</f>
        <v>3655</v>
      </c>
      <c r="P63" s="7">
        <f>_xlfn.XLOOKUP(Posts__2[[#This Row],[Platform]],'Engagement Summary'!B:B,'Engagement Summary'!G:G,"NA",0)</f>
        <v>26752</v>
      </c>
      <c r="Q63" t="str">
        <f>IFERROR(IF(C63 &lt; _xlfn.XLOOKUP(M63, 'Campaign Metadata'!A:A, 'Campaign Metadata'!B:B), "Before", "During"), "Not Found")</f>
        <v>During</v>
      </c>
      <c r="R63" s="13">
        <f>Posts__2[[#This Row],[Engagement]]/Posts__2[[#This Row],[Ad Spend]]</f>
        <v>0.1366252990430622</v>
      </c>
    </row>
    <row r="64" spans="1:18" x14ac:dyDescent="0.3">
      <c r="A64" t="s">
        <v>135</v>
      </c>
      <c r="B64" t="s">
        <v>30</v>
      </c>
      <c r="C64" s="1">
        <v>45762</v>
      </c>
      <c r="D64" t="s">
        <v>46</v>
      </c>
      <c r="E64" t="s">
        <v>87</v>
      </c>
      <c r="F64">
        <v>103</v>
      </c>
      <c r="G64">
        <v>770</v>
      </c>
      <c r="H64">
        <v>19</v>
      </c>
      <c r="I64">
        <v>1030</v>
      </c>
      <c r="J64">
        <v>410</v>
      </c>
      <c r="K64">
        <v>262</v>
      </c>
      <c r="L64" t="s">
        <v>53</v>
      </c>
      <c r="M64" t="s">
        <v>19</v>
      </c>
      <c r="N64" s="2">
        <f>(Posts__2[[#This Row],[Likes]]+Posts__2[[#This Row],[Shares]]+Posts__2[[#This Row],[Comments]])/Posts__2[[#This Row],[Impressions]]</f>
        <v>0.86601941747572819</v>
      </c>
      <c r="O64" s="7">
        <f>Posts__2[[#This Row],[Likes]]+Posts__2[[#This Row],[Shares]]+Posts__2[[#This Row],[Comments]]</f>
        <v>892</v>
      </c>
      <c r="P64" s="7">
        <f>_xlfn.XLOOKUP(Posts__2[[#This Row],[Platform]],'Engagement Summary'!B:B,'Engagement Summary'!G:G,"NA",0)</f>
        <v>5904</v>
      </c>
      <c r="Q64" t="str">
        <f>IFERROR(IF(C64 &lt; _xlfn.XLOOKUP(M64, 'Campaign Metadata'!A:A, 'Campaign Metadata'!B:B), "Before", "During"), "Not Found")</f>
        <v>During</v>
      </c>
      <c r="R64" s="13">
        <f>Posts__2[[#This Row],[Engagement]]/Posts__2[[#This Row],[Ad Spend]]</f>
        <v>0.15108401084010839</v>
      </c>
    </row>
    <row r="65" spans="1:18" x14ac:dyDescent="0.3">
      <c r="A65" t="s">
        <v>136</v>
      </c>
      <c r="B65" t="s">
        <v>30</v>
      </c>
      <c r="C65" s="1">
        <v>45465</v>
      </c>
      <c r="D65" t="s">
        <v>51</v>
      </c>
      <c r="E65" t="s">
        <v>104</v>
      </c>
      <c r="F65">
        <v>2180</v>
      </c>
      <c r="G65">
        <v>263</v>
      </c>
      <c r="H65">
        <v>387</v>
      </c>
      <c r="I65">
        <v>30520</v>
      </c>
      <c r="J65">
        <v>30059</v>
      </c>
      <c r="K65">
        <v>174</v>
      </c>
      <c r="L65" t="s">
        <v>60</v>
      </c>
      <c r="M65" t="s">
        <v>380</v>
      </c>
      <c r="N65" s="2">
        <f>(Posts__2[[#This Row],[Likes]]+Posts__2[[#This Row],[Shares]]+Posts__2[[#This Row],[Comments]])/Posts__2[[#This Row],[Impressions]]</f>
        <v>9.2726081258191345E-2</v>
      </c>
      <c r="O65" s="7">
        <f>Posts__2[[#This Row],[Likes]]+Posts__2[[#This Row],[Shares]]+Posts__2[[#This Row],[Comments]]</f>
        <v>2830</v>
      </c>
      <c r="P65" s="7">
        <f>_xlfn.XLOOKUP(Posts__2[[#This Row],[Platform]],'Engagement Summary'!B:B,'Engagement Summary'!G:G,"NA",0)</f>
        <v>5904</v>
      </c>
      <c r="Q65" t="str">
        <f>IFERROR(IF(C65 &lt; _xlfn.XLOOKUP(M65, 'Campaign Metadata'!A:A, 'Campaign Metadata'!B:B), "Before", "During"), "Not Found")</f>
        <v>Not Found</v>
      </c>
      <c r="R65" s="13">
        <f>Posts__2[[#This Row],[Engagement]]/Posts__2[[#This Row],[Ad Spend]]</f>
        <v>0.47933604336043362</v>
      </c>
    </row>
    <row r="66" spans="1:18" x14ac:dyDescent="0.3">
      <c r="A66" t="s">
        <v>137</v>
      </c>
      <c r="B66" t="s">
        <v>30</v>
      </c>
      <c r="C66" s="1">
        <v>45685</v>
      </c>
      <c r="D66" t="s">
        <v>82</v>
      </c>
      <c r="E66" t="s">
        <v>89</v>
      </c>
      <c r="F66">
        <v>904</v>
      </c>
      <c r="G66">
        <v>973</v>
      </c>
      <c r="H66">
        <v>63</v>
      </c>
      <c r="I66">
        <v>11752</v>
      </c>
      <c r="J66">
        <v>11580</v>
      </c>
      <c r="K66">
        <v>84</v>
      </c>
      <c r="L66" t="s">
        <v>60</v>
      </c>
      <c r="M66" t="s">
        <v>15</v>
      </c>
      <c r="N66" s="2">
        <f>(Posts__2[[#This Row],[Likes]]+Posts__2[[#This Row],[Shares]]+Posts__2[[#This Row],[Comments]])/Posts__2[[#This Row],[Impressions]]</f>
        <v>0.1650782845473111</v>
      </c>
      <c r="O66" s="7">
        <f>Posts__2[[#This Row],[Likes]]+Posts__2[[#This Row],[Shares]]+Posts__2[[#This Row],[Comments]]</f>
        <v>1940</v>
      </c>
      <c r="P66" s="7">
        <f>_xlfn.XLOOKUP(Posts__2[[#This Row],[Platform]],'Engagement Summary'!B:B,'Engagement Summary'!G:G,"NA",0)</f>
        <v>5904</v>
      </c>
      <c r="Q66" t="str">
        <f>IFERROR(IF(C66 &lt; _xlfn.XLOOKUP(M66, 'Campaign Metadata'!A:A, 'Campaign Metadata'!B:B), "Before", "During"), "Not Found")</f>
        <v>During</v>
      </c>
      <c r="R66" s="13">
        <f>Posts__2[[#This Row],[Engagement]]/Posts__2[[#This Row],[Ad Spend]]</f>
        <v>0.32859078590785906</v>
      </c>
    </row>
    <row r="67" spans="1:18" x14ac:dyDescent="0.3">
      <c r="A67" t="s">
        <v>137</v>
      </c>
      <c r="B67" t="s">
        <v>30</v>
      </c>
      <c r="C67" s="1">
        <v>45685</v>
      </c>
      <c r="D67" t="s">
        <v>82</v>
      </c>
      <c r="E67" t="s">
        <v>89</v>
      </c>
      <c r="F67">
        <v>904</v>
      </c>
      <c r="G67">
        <v>973</v>
      </c>
      <c r="H67">
        <v>63</v>
      </c>
      <c r="I67">
        <v>11752</v>
      </c>
      <c r="J67">
        <v>11580</v>
      </c>
      <c r="K67">
        <v>84</v>
      </c>
      <c r="L67" t="s">
        <v>53</v>
      </c>
      <c r="M67" t="s">
        <v>15</v>
      </c>
      <c r="N67" s="2">
        <f>(Posts__2[[#This Row],[Likes]]+Posts__2[[#This Row],[Shares]]+Posts__2[[#This Row],[Comments]])/Posts__2[[#This Row],[Impressions]]</f>
        <v>0.1650782845473111</v>
      </c>
      <c r="O67" s="7">
        <f>Posts__2[[#This Row],[Likes]]+Posts__2[[#This Row],[Shares]]+Posts__2[[#This Row],[Comments]]</f>
        <v>1940</v>
      </c>
      <c r="P67" s="7">
        <f>_xlfn.XLOOKUP(Posts__2[[#This Row],[Platform]],'Engagement Summary'!B:B,'Engagement Summary'!G:G,"NA",0)</f>
        <v>5904</v>
      </c>
      <c r="Q67" t="str">
        <f>IFERROR(IF(C67 &lt; _xlfn.XLOOKUP(M67, 'Campaign Metadata'!A:A, 'Campaign Metadata'!B:B), "Before", "During"), "Not Found")</f>
        <v>During</v>
      </c>
      <c r="R67" s="13">
        <f>Posts__2[[#This Row],[Engagement]]/Posts__2[[#This Row],[Ad Spend]]</f>
        <v>0.32859078590785906</v>
      </c>
    </row>
    <row r="68" spans="1:18" x14ac:dyDescent="0.3">
      <c r="A68" t="s">
        <v>137</v>
      </c>
      <c r="B68" t="s">
        <v>30</v>
      </c>
      <c r="C68" s="1">
        <v>45685</v>
      </c>
      <c r="D68" t="s">
        <v>82</v>
      </c>
      <c r="E68" t="s">
        <v>89</v>
      </c>
      <c r="F68">
        <v>904</v>
      </c>
      <c r="G68">
        <v>973</v>
      </c>
      <c r="H68">
        <v>63</v>
      </c>
      <c r="I68">
        <v>11752</v>
      </c>
      <c r="J68">
        <v>11580</v>
      </c>
      <c r="K68">
        <v>84</v>
      </c>
      <c r="L68" t="s">
        <v>49</v>
      </c>
      <c r="M68" t="s">
        <v>15</v>
      </c>
      <c r="N68" s="2">
        <f>(Posts__2[[#This Row],[Likes]]+Posts__2[[#This Row],[Shares]]+Posts__2[[#This Row],[Comments]])/Posts__2[[#This Row],[Impressions]]</f>
        <v>0.1650782845473111</v>
      </c>
      <c r="O68" s="7">
        <f>Posts__2[[#This Row],[Likes]]+Posts__2[[#This Row],[Shares]]+Posts__2[[#This Row],[Comments]]</f>
        <v>1940</v>
      </c>
      <c r="P68" s="7">
        <f>_xlfn.XLOOKUP(Posts__2[[#This Row],[Platform]],'Engagement Summary'!B:B,'Engagement Summary'!G:G,"NA",0)</f>
        <v>5904</v>
      </c>
      <c r="Q68" t="str">
        <f>IFERROR(IF(C68 &lt; _xlfn.XLOOKUP(M68, 'Campaign Metadata'!A:A, 'Campaign Metadata'!B:B), "Before", "During"), "Not Found")</f>
        <v>During</v>
      </c>
      <c r="R68" s="13">
        <f>Posts__2[[#This Row],[Engagement]]/Posts__2[[#This Row],[Ad Spend]]</f>
        <v>0.32859078590785906</v>
      </c>
    </row>
    <row r="69" spans="1:18" x14ac:dyDescent="0.3">
      <c r="A69" t="s">
        <v>138</v>
      </c>
      <c r="B69" t="s">
        <v>32</v>
      </c>
      <c r="C69" s="1">
        <v>45540</v>
      </c>
      <c r="D69" t="s">
        <v>82</v>
      </c>
      <c r="E69" t="s">
        <v>121</v>
      </c>
      <c r="F69">
        <v>4886</v>
      </c>
      <c r="G69">
        <v>983</v>
      </c>
      <c r="H69">
        <v>409</v>
      </c>
      <c r="I69">
        <v>43974</v>
      </c>
      <c r="J69">
        <v>43239</v>
      </c>
      <c r="K69">
        <v>65</v>
      </c>
      <c r="L69" t="s">
        <v>53</v>
      </c>
      <c r="M69" t="s">
        <v>7</v>
      </c>
      <c r="N69" s="2">
        <f>(Posts__2[[#This Row],[Likes]]+Posts__2[[#This Row],[Shares]]+Posts__2[[#This Row],[Comments]])/Posts__2[[#This Row],[Impressions]]</f>
        <v>0.14276618001546368</v>
      </c>
      <c r="O69" s="7">
        <f>Posts__2[[#This Row],[Likes]]+Posts__2[[#This Row],[Shares]]+Posts__2[[#This Row],[Comments]]</f>
        <v>6278</v>
      </c>
      <c r="P69" s="7">
        <f>_xlfn.XLOOKUP(Posts__2[[#This Row],[Platform]],'Engagement Summary'!B:B,'Engagement Summary'!G:G,"NA",0)</f>
        <v>26752</v>
      </c>
      <c r="Q69" t="str">
        <f>IFERROR(IF(C69 &lt; _xlfn.XLOOKUP(M69, 'Campaign Metadata'!A:A, 'Campaign Metadata'!B:B), "Before", "During"), "Not Found")</f>
        <v>During</v>
      </c>
      <c r="R69" s="13">
        <f>Posts__2[[#This Row],[Engagement]]/Posts__2[[#This Row],[Ad Spend]]</f>
        <v>0.23467404306220097</v>
      </c>
    </row>
    <row r="70" spans="1:18" x14ac:dyDescent="0.3">
      <c r="A70" t="s">
        <v>139</v>
      </c>
      <c r="B70" t="s">
        <v>32</v>
      </c>
      <c r="C70" s="1">
        <v>45618</v>
      </c>
      <c r="D70" t="s">
        <v>63</v>
      </c>
      <c r="E70" t="s">
        <v>66</v>
      </c>
      <c r="F70">
        <v>53</v>
      </c>
      <c r="G70">
        <v>81</v>
      </c>
      <c r="H70">
        <v>379</v>
      </c>
      <c r="I70">
        <v>954</v>
      </c>
      <c r="J70">
        <v>7</v>
      </c>
      <c r="K70">
        <v>148</v>
      </c>
      <c r="L70" t="s">
        <v>53</v>
      </c>
      <c r="M70" t="s">
        <v>15</v>
      </c>
      <c r="N70" s="2">
        <f>(Posts__2[[#This Row],[Likes]]+Posts__2[[#This Row],[Shares]]+Posts__2[[#This Row],[Comments]])/Posts__2[[#This Row],[Impressions]]</f>
        <v>0.53773584905660377</v>
      </c>
      <c r="O70" s="7">
        <f>Posts__2[[#This Row],[Likes]]+Posts__2[[#This Row],[Shares]]+Posts__2[[#This Row],[Comments]]</f>
        <v>513</v>
      </c>
      <c r="P70" s="7">
        <f>_xlfn.XLOOKUP(Posts__2[[#This Row],[Platform]],'Engagement Summary'!B:B,'Engagement Summary'!G:G,"NA",0)</f>
        <v>26752</v>
      </c>
      <c r="Q70" t="str">
        <f>IFERROR(IF(C70 &lt; _xlfn.XLOOKUP(M70, 'Campaign Metadata'!A:A, 'Campaign Metadata'!B:B), "Before", "During"), "Not Found")</f>
        <v>Before</v>
      </c>
      <c r="R70" s="13">
        <f>Posts__2[[#This Row],[Engagement]]/Posts__2[[#This Row],[Ad Spend]]</f>
        <v>1.9176136363636364E-2</v>
      </c>
    </row>
    <row r="71" spans="1:18" x14ac:dyDescent="0.3">
      <c r="A71" t="s">
        <v>140</v>
      </c>
      <c r="B71" t="s">
        <v>32</v>
      </c>
      <c r="C71" s="1">
        <v>45504</v>
      </c>
      <c r="D71" t="s">
        <v>63</v>
      </c>
      <c r="E71" t="s">
        <v>66</v>
      </c>
      <c r="F71">
        <v>4507</v>
      </c>
      <c r="G71">
        <v>217</v>
      </c>
      <c r="H71">
        <v>13</v>
      </c>
      <c r="I71">
        <v>90140</v>
      </c>
      <c r="J71">
        <v>89591</v>
      </c>
      <c r="K71">
        <v>125</v>
      </c>
      <c r="L71" t="s">
        <v>48</v>
      </c>
      <c r="M71" t="s">
        <v>15</v>
      </c>
      <c r="N71" s="2">
        <f>(Posts__2[[#This Row],[Likes]]+Posts__2[[#This Row],[Shares]]+Posts__2[[#This Row],[Comments]])/Posts__2[[#This Row],[Impressions]]</f>
        <v>5.2551586421122697E-2</v>
      </c>
      <c r="O71" s="7">
        <f>Posts__2[[#This Row],[Likes]]+Posts__2[[#This Row],[Shares]]+Posts__2[[#This Row],[Comments]]</f>
        <v>4737</v>
      </c>
      <c r="P71" s="7">
        <f>_xlfn.XLOOKUP(Posts__2[[#This Row],[Platform]],'Engagement Summary'!B:B,'Engagement Summary'!G:G,"NA",0)</f>
        <v>26752</v>
      </c>
      <c r="Q71" t="str">
        <f>IFERROR(IF(C71 &lt; _xlfn.XLOOKUP(M71, 'Campaign Metadata'!A:A, 'Campaign Metadata'!B:B), "Before", "During"), "Not Found")</f>
        <v>Before</v>
      </c>
      <c r="R71" s="13">
        <f>Posts__2[[#This Row],[Engagement]]/Posts__2[[#This Row],[Ad Spend]]</f>
        <v>0.17707087320574164</v>
      </c>
    </row>
    <row r="72" spans="1:18" x14ac:dyDescent="0.3">
      <c r="A72" t="s">
        <v>141</v>
      </c>
      <c r="B72" t="s">
        <v>31</v>
      </c>
      <c r="C72" s="1">
        <v>45521</v>
      </c>
      <c r="D72" t="s">
        <v>68</v>
      </c>
      <c r="E72" t="s">
        <v>73</v>
      </c>
      <c r="F72">
        <v>2878</v>
      </c>
      <c r="G72">
        <v>248</v>
      </c>
      <c r="H72">
        <v>416</v>
      </c>
      <c r="I72">
        <v>43170</v>
      </c>
      <c r="J72">
        <v>42667</v>
      </c>
      <c r="K72">
        <v>75</v>
      </c>
      <c r="L72" t="s">
        <v>48</v>
      </c>
      <c r="M72" t="s">
        <v>15</v>
      </c>
      <c r="N72" s="2">
        <f>(Posts__2[[#This Row],[Likes]]+Posts__2[[#This Row],[Shares]]+Posts__2[[#This Row],[Comments]])/Posts__2[[#This Row],[Impressions]]</f>
        <v>8.2047718322909427E-2</v>
      </c>
      <c r="O72" s="7">
        <f>Posts__2[[#This Row],[Likes]]+Posts__2[[#This Row],[Shares]]+Posts__2[[#This Row],[Comments]]</f>
        <v>3542</v>
      </c>
      <c r="P72" s="7">
        <f>_xlfn.XLOOKUP(Posts__2[[#This Row],[Platform]],'Engagement Summary'!B:B,'Engagement Summary'!G:G,"NA",0)</f>
        <v>9566</v>
      </c>
      <c r="Q72" t="str">
        <f>IFERROR(IF(C72 &lt; _xlfn.XLOOKUP(M72, 'Campaign Metadata'!A:A, 'Campaign Metadata'!B:B), "Before", "During"), "Not Found")</f>
        <v>Before</v>
      </c>
      <c r="R72" s="13">
        <f>Posts__2[[#This Row],[Engagement]]/Posts__2[[#This Row],[Ad Spend]]</f>
        <v>0.37026970520593772</v>
      </c>
    </row>
    <row r="73" spans="1:18" x14ac:dyDescent="0.3">
      <c r="A73" t="s">
        <v>142</v>
      </c>
      <c r="B73" t="s">
        <v>30</v>
      </c>
      <c r="C73" s="1">
        <v>45744</v>
      </c>
      <c r="D73" t="s">
        <v>58</v>
      </c>
      <c r="E73" t="s">
        <v>59</v>
      </c>
      <c r="F73">
        <v>1881</v>
      </c>
      <c r="G73">
        <v>501</v>
      </c>
      <c r="H73">
        <v>99</v>
      </c>
      <c r="I73">
        <v>20691</v>
      </c>
      <c r="J73">
        <v>19987</v>
      </c>
      <c r="K73">
        <v>289</v>
      </c>
      <c r="L73" t="s">
        <v>60</v>
      </c>
      <c r="M73" t="s">
        <v>380</v>
      </c>
      <c r="N73" s="2">
        <f>(Posts__2[[#This Row],[Likes]]+Posts__2[[#This Row],[Shares]]+Posts__2[[#This Row],[Comments]])/Posts__2[[#This Row],[Impressions]]</f>
        <v>0.11990720603160794</v>
      </c>
      <c r="O73" s="7">
        <f>Posts__2[[#This Row],[Likes]]+Posts__2[[#This Row],[Shares]]+Posts__2[[#This Row],[Comments]]</f>
        <v>2481</v>
      </c>
      <c r="P73" s="7">
        <f>_xlfn.XLOOKUP(Posts__2[[#This Row],[Platform]],'Engagement Summary'!B:B,'Engagement Summary'!G:G,"NA",0)</f>
        <v>5904</v>
      </c>
      <c r="Q73" t="str">
        <f>IFERROR(IF(C73 &lt; _xlfn.XLOOKUP(M73, 'Campaign Metadata'!A:A, 'Campaign Metadata'!B:B), "Before", "During"), "Not Found")</f>
        <v>Not Found</v>
      </c>
      <c r="R73" s="13">
        <f>Posts__2[[#This Row],[Engagement]]/Posts__2[[#This Row],[Ad Spend]]</f>
        <v>0.42022357723577236</v>
      </c>
    </row>
    <row r="74" spans="1:18" x14ac:dyDescent="0.3">
      <c r="A74" t="s">
        <v>143</v>
      </c>
      <c r="B74" t="s">
        <v>32</v>
      </c>
      <c r="C74" s="1">
        <v>45499</v>
      </c>
      <c r="D74" t="s">
        <v>63</v>
      </c>
      <c r="E74" t="s">
        <v>66</v>
      </c>
      <c r="F74">
        <v>432</v>
      </c>
      <c r="G74">
        <v>171</v>
      </c>
      <c r="H74">
        <v>280</v>
      </c>
      <c r="I74">
        <v>3024</v>
      </c>
      <c r="J74">
        <v>2285</v>
      </c>
      <c r="K74">
        <v>184</v>
      </c>
      <c r="L74" t="s">
        <v>60</v>
      </c>
      <c r="M74" t="s">
        <v>7</v>
      </c>
      <c r="N74" s="2">
        <f>(Posts__2[[#This Row],[Likes]]+Posts__2[[#This Row],[Shares]]+Posts__2[[#This Row],[Comments]])/Posts__2[[#This Row],[Impressions]]</f>
        <v>0.29199735449735448</v>
      </c>
      <c r="O74" s="7">
        <f>Posts__2[[#This Row],[Likes]]+Posts__2[[#This Row],[Shares]]+Posts__2[[#This Row],[Comments]]</f>
        <v>883</v>
      </c>
      <c r="P74" s="7">
        <f>_xlfn.XLOOKUP(Posts__2[[#This Row],[Platform]],'Engagement Summary'!B:B,'Engagement Summary'!G:G,"NA",0)</f>
        <v>26752</v>
      </c>
      <c r="Q74" t="str">
        <f>IFERROR(IF(C74 &lt; _xlfn.XLOOKUP(M74, 'Campaign Metadata'!A:A, 'Campaign Metadata'!B:B), "Before", "During"), "Not Found")</f>
        <v>During</v>
      </c>
      <c r="R74" s="13">
        <f>Posts__2[[#This Row],[Engagement]]/Posts__2[[#This Row],[Ad Spend]]</f>
        <v>3.3006877990430623E-2</v>
      </c>
    </row>
    <row r="75" spans="1:18" x14ac:dyDescent="0.3">
      <c r="A75" t="s">
        <v>144</v>
      </c>
      <c r="B75" t="s">
        <v>31</v>
      </c>
      <c r="C75" s="1">
        <v>45745</v>
      </c>
      <c r="D75" t="s">
        <v>63</v>
      </c>
      <c r="E75" t="s">
        <v>64</v>
      </c>
      <c r="F75">
        <v>4712</v>
      </c>
      <c r="G75">
        <v>568</v>
      </c>
      <c r="H75">
        <v>127</v>
      </c>
      <c r="I75">
        <v>84816</v>
      </c>
      <c r="J75">
        <v>84691</v>
      </c>
      <c r="K75">
        <v>100</v>
      </c>
      <c r="L75" t="s">
        <v>60</v>
      </c>
      <c r="M75" t="s">
        <v>15</v>
      </c>
      <c r="N75" s="2">
        <f>(Posts__2[[#This Row],[Likes]]+Posts__2[[#This Row],[Shares]]+Posts__2[[#This Row],[Comments]])/Posts__2[[#This Row],[Impressions]]</f>
        <v>6.3749764195434822E-2</v>
      </c>
      <c r="O75" s="7">
        <f>Posts__2[[#This Row],[Likes]]+Posts__2[[#This Row],[Shares]]+Posts__2[[#This Row],[Comments]]</f>
        <v>5407</v>
      </c>
      <c r="P75" s="7">
        <f>_xlfn.XLOOKUP(Posts__2[[#This Row],[Platform]],'Engagement Summary'!B:B,'Engagement Summary'!G:G,"NA",0)</f>
        <v>9566</v>
      </c>
      <c r="Q75" t="str">
        <f>IFERROR(IF(C75 &lt; _xlfn.XLOOKUP(M75, 'Campaign Metadata'!A:A, 'Campaign Metadata'!B:B), "Before", "During"), "Not Found")</f>
        <v>During</v>
      </c>
      <c r="R75" s="13">
        <f>Posts__2[[#This Row],[Engagement]]/Posts__2[[#This Row],[Ad Spend]]</f>
        <v>0.56523102655237301</v>
      </c>
    </row>
    <row r="76" spans="1:18" x14ac:dyDescent="0.3">
      <c r="A76" t="s">
        <v>145</v>
      </c>
      <c r="B76" t="s">
        <v>30</v>
      </c>
      <c r="C76" s="1">
        <v>45634</v>
      </c>
      <c r="D76" t="s">
        <v>58</v>
      </c>
      <c r="E76" t="s">
        <v>59</v>
      </c>
      <c r="F76">
        <v>2610</v>
      </c>
      <c r="G76">
        <v>126</v>
      </c>
      <c r="H76">
        <v>288</v>
      </c>
      <c r="I76">
        <v>15660</v>
      </c>
      <c r="J76">
        <v>15145</v>
      </c>
      <c r="K76">
        <v>73</v>
      </c>
      <c r="L76" t="s">
        <v>60</v>
      </c>
      <c r="M76" t="s">
        <v>380</v>
      </c>
      <c r="N76" s="2">
        <f>(Posts__2[[#This Row],[Likes]]+Posts__2[[#This Row],[Shares]]+Posts__2[[#This Row],[Comments]])/Posts__2[[#This Row],[Impressions]]</f>
        <v>0.19310344827586207</v>
      </c>
      <c r="O76" s="7">
        <f>Posts__2[[#This Row],[Likes]]+Posts__2[[#This Row],[Shares]]+Posts__2[[#This Row],[Comments]]</f>
        <v>3024</v>
      </c>
      <c r="P76" s="7">
        <f>_xlfn.XLOOKUP(Posts__2[[#This Row],[Platform]],'Engagement Summary'!B:B,'Engagement Summary'!G:G,"NA",0)</f>
        <v>5904</v>
      </c>
      <c r="Q76" t="str">
        <f>IFERROR(IF(C76 &lt; _xlfn.XLOOKUP(M76, 'Campaign Metadata'!A:A, 'Campaign Metadata'!B:B), "Before", "During"), "Not Found")</f>
        <v>Not Found</v>
      </c>
      <c r="R76" s="13">
        <f>Posts__2[[#This Row],[Engagement]]/Posts__2[[#This Row],[Ad Spend]]</f>
        <v>0.51219512195121952</v>
      </c>
    </row>
    <row r="77" spans="1:18" x14ac:dyDescent="0.3">
      <c r="A77" t="s">
        <v>146</v>
      </c>
      <c r="B77" t="s">
        <v>32</v>
      </c>
      <c r="C77" s="1">
        <v>45724</v>
      </c>
      <c r="D77" t="s">
        <v>51</v>
      </c>
      <c r="E77" t="s">
        <v>52</v>
      </c>
      <c r="F77">
        <v>1292</v>
      </c>
      <c r="G77">
        <v>626</v>
      </c>
      <c r="H77">
        <v>496</v>
      </c>
      <c r="I77">
        <v>25840</v>
      </c>
      <c r="J77">
        <v>24916</v>
      </c>
      <c r="K77">
        <v>149</v>
      </c>
      <c r="L77" t="s">
        <v>48</v>
      </c>
      <c r="M77" t="s">
        <v>15</v>
      </c>
      <c r="N77" s="2">
        <f>(Posts__2[[#This Row],[Likes]]+Posts__2[[#This Row],[Shares]]+Posts__2[[#This Row],[Comments]])/Posts__2[[#This Row],[Impressions]]</f>
        <v>9.3421052631578946E-2</v>
      </c>
      <c r="O77" s="7">
        <f>Posts__2[[#This Row],[Likes]]+Posts__2[[#This Row],[Shares]]+Posts__2[[#This Row],[Comments]]</f>
        <v>2414</v>
      </c>
      <c r="P77" s="7">
        <f>_xlfn.XLOOKUP(Posts__2[[#This Row],[Platform]],'Engagement Summary'!B:B,'Engagement Summary'!G:G,"NA",0)</f>
        <v>26752</v>
      </c>
      <c r="Q77" t="str">
        <f>IFERROR(IF(C77 &lt; _xlfn.XLOOKUP(M77, 'Campaign Metadata'!A:A, 'Campaign Metadata'!B:B), "Before", "During"), "Not Found")</f>
        <v>During</v>
      </c>
      <c r="R77" s="13">
        <f>Posts__2[[#This Row],[Engagement]]/Posts__2[[#This Row],[Ad Spend]]</f>
        <v>9.0236244019138753E-2</v>
      </c>
    </row>
    <row r="78" spans="1:18" x14ac:dyDescent="0.3">
      <c r="A78" t="s">
        <v>147</v>
      </c>
      <c r="B78" t="s">
        <v>31</v>
      </c>
      <c r="C78" s="1">
        <v>45749</v>
      </c>
      <c r="D78" t="s">
        <v>82</v>
      </c>
      <c r="E78" t="s">
        <v>83</v>
      </c>
      <c r="F78">
        <v>199</v>
      </c>
      <c r="G78">
        <v>772</v>
      </c>
      <c r="H78">
        <v>400</v>
      </c>
      <c r="I78">
        <v>3582</v>
      </c>
      <c r="J78">
        <v>2988</v>
      </c>
      <c r="K78">
        <v>43</v>
      </c>
      <c r="L78" t="s">
        <v>53</v>
      </c>
      <c r="M78" t="s">
        <v>380</v>
      </c>
      <c r="N78" s="2">
        <f>(Posts__2[[#This Row],[Likes]]+Posts__2[[#This Row],[Shares]]+Posts__2[[#This Row],[Comments]])/Posts__2[[#This Row],[Impressions]]</f>
        <v>0.38274706867671693</v>
      </c>
      <c r="O78" s="7">
        <f>Posts__2[[#This Row],[Likes]]+Posts__2[[#This Row],[Shares]]+Posts__2[[#This Row],[Comments]]</f>
        <v>1371</v>
      </c>
      <c r="P78" s="7">
        <f>_xlfn.XLOOKUP(Posts__2[[#This Row],[Platform]],'Engagement Summary'!B:B,'Engagement Summary'!G:G,"NA",0)</f>
        <v>9566</v>
      </c>
      <c r="Q78" t="str">
        <f>IFERROR(IF(C78 &lt; _xlfn.XLOOKUP(M78, 'Campaign Metadata'!A:A, 'Campaign Metadata'!B:B), "Before", "During"), "Not Found")</f>
        <v>Not Found</v>
      </c>
      <c r="R78" s="13">
        <f>Posts__2[[#This Row],[Engagement]]/Posts__2[[#This Row],[Ad Spend]]</f>
        <v>0.14332009199247334</v>
      </c>
    </row>
    <row r="79" spans="1:18" x14ac:dyDescent="0.3">
      <c r="A79" t="s">
        <v>148</v>
      </c>
      <c r="B79" t="s">
        <v>33</v>
      </c>
      <c r="C79" s="1">
        <v>45537</v>
      </c>
      <c r="D79" t="s">
        <v>63</v>
      </c>
      <c r="E79" t="s">
        <v>78</v>
      </c>
      <c r="F79">
        <v>2551</v>
      </c>
      <c r="G79">
        <v>915</v>
      </c>
      <c r="H79">
        <v>205</v>
      </c>
      <c r="I79">
        <v>30612</v>
      </c>
      <c r="J79">
        <v>30360</v>
      </c>
      <c r="K79">
        <v>227</v>
      </c>
      <c r="L79" t="s">
        <v>53</v>
      </c>
      <c r="M79" t="s">
        <v>11</v>
      </c>
      <c r="N79" s="2">
        <f>(Posts__2[[#This Row],[Likes]]+Posts__2[[#This Row],[Shares]]+Posts__2[[#This Row],[Comments]])/Posts__2[[#This Row],[Impressions]]</f>
        <v>0.1199202926956749</v>
      </c>
      <c r="O79" s="7">
        <f>Posts__2[[#This Row],[Likes]]+Posts__2[[#This Row],[Shares]]+Posts__2[[#This Row],[Comments]]</f>
        <v>3671</v>
      </c>
      <c r="P79" s="7">
        <f>_xlfn.XLOOKUP(Posts__2[[#This Row],[Platform]],'Engagement Summary'!B:B,'Engagement Summary'!G:G,"NA",0)</f>
        <v>30671</v>
      </c>
      <c r="Q79" t="str">
        <f>IFERROR(IF(C79 &lt; _xlfn.XLOOKUP(M79, 'Campaign Metadata'!A:A, 'Campaign Metadata'!B:B), "Before", "During"), "Not Found")</f>
        <v>Before</v>
      </c>
      <c r="R79" s="13">
        <f>Posts__2[[#This Row],[Engagement]]/Posts__2[[#This Row],[Ad Spend]]</f>
        <v>0.11968960907697826</v>
      </c>
    </row>
    <row r="80" spans="1:18" x14ac:dyDescent="0.3">
      <c r="A80" t="s">
        <v>149</v>
      </c>
      <c r="B80" t="s">
        <v>33</v>
      </c>
      <c r="C80" s="1">
        <v>45719</v>
      </c>
      <c r="D80" t="s">
        <v>46</v>
      </c>
      <c r="E80" t="s">
        <v>56</v>
      </c>
      <c r="F80">
        <v>296</v>
      </c>
      <c r="G80">
        <v>60</v>
      </c>
      <c r="H80">
        <v>141</v>
      </c>
      <c r="I80">
        <v>5624</v>
      </c>
      <c r="J80">
        <v>5239</v>
      </c>
      <c r="K80">
        <v>88</v>
      </c>
      <c r="L80" t="s">
        <v>60</v>
      </c>
      <c r="M80" t="s">
        <v>11</v>
      </c>
      <c r="N80" s="2">
        <f>(Posts__2[[#This Row],[Likes]]+Posts__2[[#This Row],[Shares]]+Posts__2[[#This Row],[Comments]])/Posts__2[[#This Row],[Impressions]]</f>
        <v>8.837126600284495E-2</v>
      </c>
      <c r="O80" s="7">
        <f>Posts__2[[#This Row],[Likes]]+Posts__2[[#This Row],[Shares]]+Posts__2[[#This Row],[Comments]]</f>
        <v>497</v>
      </c>
      <c r="P80" s="7">
        <f>_xlfn.XLOOKUP(Posts__2[[#This Row],[Platform]],'Engagement Summary'!B:B,'Engagement Summary'!G:G,"NA",0)</f>
        <v>30671</v>
      </c>
      <c r="Q80" t="str">
        <f>IFERROR(IF(C80 &lt; _xlfn.XLOOKUP(M80, 'Campaign Metadata'!A:A, 'Campaign Metadata'!B:B), "Before", "During"), "Not Found")</f>
        <v>During</v>
      </c>
      <c r="R80" s="13">
        <f>Posts__2[[#This Row],[Engagement]]/Posts__2[[#This Row],[Ad Spend]]</f>
        <v>1.6204232010694142E-2</v>
      </c>
    </row>
    <row r="81" spans="1:18" x14ac:dyDescent="0.3">
      <c r="A81" t="s">
        <v>150</v>
      </c>
      <c r="B81" t="s">
        <v>31</v>
      </c>
      <c r="C81" s="1">
        <v>45583</v>
      </c>
      <c r="D81" t="s">
        <v>58</v>
      </c>
      <c r="E81" t="s">
        <v>80</v>
      </c>
      <c r="F81">
        <v>4126</v>
      </c>
      <c r="G81">
        <v>426</v>
      </c>
      <c r="H81">
        <v>486</v>
      </c>
      <c r="I81">
        <v>78394</v>
      </c>
      <c r="J81">
        <v>77798</v>
      </c>
      <c r="K81">
        <v>88</v>
      </c>
      <c r="L81" t="s">
        <v>48</v>
      </c>
      <c r="M81" t="s">
        <v>19</v>
      </c>
      <c r="N81" s="2">
        <f>(Posts__2[[#This Row],[Likes]]+Posts__2[[#This Row],[Shares]]+Posts__2[[#This Row],[Comments]])/Posts__2[[#This Row],[Impressions]]</f>
        <v>6.4265122330790625E-2</v>
      </c>
      <c r="O81" s="7">
        <f>Posts__2[[#This Row],[Likes]]+Posts__2[[#This Row],[Shares]]+Posts__2[[#This Row],[Comments]]</f>
        <v>5038</v>
      </c>
      <c r="P81" s="7">
        <f>_xlfn.XLOOKUP(Posts__2[[#This Row],[Platform]],'Engagement Summary'!B:B,'Engagement Summary'!G:G,"NA",0)</f>
        <v>9566</v>
      </c>
      <c r="Q81" t="str">
        <f>IFERROR(IF(C81 &lt; _xlfn.XLOOKUP(M81, 'Campaign Metadata'!A:A, 'Campaign Metadata'!B:B), "Before", "During"), "Not Found")</f>
        <v>Before</v>
      </c>
      <c r="R81" s="13">
        <f>Posts__2[[#This Row],[Engagement]]/Posts__2[[#This Row],[Ad Spend]]</f>
        <v>0.52665690988919089</v>
      </c>
    </row>
    <row r="82" spans="1:18" x14ac:dyDescent="0.3">
      <c r="A82" t="s">
        <v>151</v>
      </c>
      <c r="B82" t="s">
        <v>33</v>
      </c>
      <c r="C82" s="1">
        <v>45593</v>
      </c>
      <c r="D82" t="s">
        <v>46</v>
      </c>
      <c r="E82" t="s">
        <v>56</v>
      </c>
      <c r="F82">
        <v>1855</v>
      </c>
      <c r="G82">
        <v>200</v>
      </c>
      <c r="H82">
        <v>174</v>
      </c>
      <c r="I82">
        <v>16695</v>
      </c>
      <c r="J82">
        <v>16330</v>
      </c>
      <c r="K82">
        <v>123</v>
      </c>
      <c r="L82" t="s">
        <v>53</v>
      </c>
      <c r="M82" t="s">
        <v>15</v>
      </c>
      <c r="N82" s="2">
        <f>(Posts__2[[#This Row],[Likes]]+Posts__2[[#This Row],[Shares]]+Posts__2[[#This Row],[Comments]])/Posts__2[[#This Row],[Impressions]]</f>
        <v>0.13351302785265048</v>
      </c>
      <c r="O82" s="7">
        <f>Posts__2[[#This Row],[Likes]]+Posts__2[[#This Row],[Shares]]+Posts__2[[#This Row],[Comments]]</f>
        <v>2229</v>
      </c>
      <c r="P82" s="7">
        <f>_xlfn.XLOOKUP(Posts__2[[#This Row],[Platform]],'Engagement Summary'!B:B,'Engagement Summary'!G:G,"NA",0)</f>
        <v>30671</v>
      </c>
      <c r="Q82" t="str">
        <f>IFERROR(IF(C82 &lt; _xlfn.XLOOKUP(M82, 'Campaign Metadata'!A:A, 'Campaign Metadata'!B:B), "Before", "During"), "Not Found")</f>
        <v>Before</v>
      </c>
      <c r="R82" s="13">
        <f>Posts__2[[#This Row],[Engagement]]/Posts__2[[#This Row],[Ad Spend]]</f>
        <v>7.2674513383978345E-2</v>
      </c>
    </row>
    <row r="83" spans="1:18" x14ac:dyDescent="0.3">
      <c r="A83" t="s">
        <v>152</v>
      </c>
      <c r="B83" t="s">
        <v>30</v>
      </c>
      <c r="C83" s="1">
        <v>45505</v>
      </c>
      <c r="D83" t="s">
        <v>46</v>
      </c>
      <c r="E83" t="s">
        <v>87</v>
      </c>
      <c r="F83">
        <v>1674</v>
      </c>
      <c r="G83">
        <v>929</v>
      </c>
      <c r="H83">
        <v>37</v>
      </c>
      <c r="I83">
        <v>21762</v>
      </c>
      <c r="J83">
        <v>20998</v>
      </c>
      <c r="K83">
        <v>255</v>
      </c>
      <c r="L83" t="s">
        <v>53</v>
      </c>
      <c r="M83" t="s">
        <v>19</v>
      </c>
      <c r="N83" s="2">
        <f>(Posts__2[[#This Row],[Likes]]+Posts__2[[#This Row],[Shares]]+Posts__2[[#This Row],[Comments]])/Posts__2[[#This Row],[Impressions]]</f>
        <v>0.12131237937689551</v>
      </c>
      <c r="O83" s="7">
        <f>Posts__2[[#This Row],[Likes]]+Posts__2[[#This Row],[Shares]]+Posts__2[[#This Row],[Comments]]</f>
        <v>2640</v>
      </c>
      <c r="P83" s="7">
        <f>_xlfn.XLOOKUP(Posts__2[[#This Row],[Platform]],'Engagement Summary'!B:B,'Engagement Summary'!G:G,"NA",0)</f>
        <v>5904</v>
      </c>
      <c r="Q83" t="str">
        <f>IFERROR(IF(C83 &lt; _xlfn.XLOOKUP(M83, 'Campaign Metadata'!A:A, 'Campaign Metadata'!B:B), "Before", "During"), "Not Found")</f>
        <v>Before</v>
      </c>
      <c r="R83" s="13">
        <f>Posts__2[[#This Row],[Engagement]]/Posts__2[[#This Row],[Ad Spend]]</f>
        <v>0.44715447154471544</v>
      </c>
    </row>
    <row r="84" spans="1:18" x14ac:dyDescent="0.3">
      <c r="A84" t="s">
        <v>153</v>
      </c>
      <c r="B84" t="s">
        <v>32</v>
      </c>
      <c r="C84" s="1">
        <v>45603</v>
      </c>
      <c r="D84" t="s">
        <v>58</v>
      </c>
      <c r="E84" t="s">
        <v>124</v>
      </c>
      <c r="F84">
        <v>1121</v>
      </c>
      <c r="G84">
        <v>135</v>
      </c>
      <c r="H84">
        <v>18</v>
      </c>
      <c r="I84">
        <v>15694</v>
      </c>
      <c r="J84">
        <v>14957</v>
      </c>
      <c r="K84">
        <v>99</v>
      </c>
      <c r="L84" t="s">
        <v>53</v>
      </c>
      <c r="M84" t="s">
        <v>19</v>
      </c>
      <c r="N84" s="2">
        <f>(Posts__2[[#This Row],[Likes]]+Posts__2[[#This Row],[Shares]]+Posts__2[[#This Row],[Comments]])/Posts__2[[#This Row],[Impressions]]</f>
        <v>8.1177520071364848E-2</v>
      </c>
      <c r="O84" s="7">
        <f>Posts__2[[#This Row],[Likes]]+Posts__2[[#This Row],[Shares]]+Posts__2[[#This Row],[Comments]]</f>
        <v>1274</v>
      </c>
      <c r="P84" s="7">
        <f>_xlfn.XLOOKUP(Posts__2[[#This Row],[Platform]],'Engagement Summary'!B:B,'Engagement Summary'!G:G,"NA",0)</f>
        <v>26752</v>
      </c>
      <c r="Q84" t="str">
        <f>IFERROR(IF(C84 &lt; _xlfn.XLOOKUP(M84, 'Campaign Metadata'!A:A, 'Campaign Metadata'!B:B), "Before", "During"), "Not Found")</f>
        <v>Before</v>
      </c>
      <c r="R84" s="13">
        <f>Posts__2[[#This Row],[Engagement]]/Posts__2[[#This Row],[Ad Spend]]</f>
        <v>4.7622607655502393E-2</v>
      </c>
    </row>
    <row r="85" spans="1:18" x14ac:dyDescent="0.3">
      <c r="A85" t="s">
        <v>154</v>
      </c>
      <c r="B85" t="s">
        <v>31</v>
      </c>
      <c r="C85" s="1">
        <v>45720</v>
      </c>
      <c r="D85" t="s">
        <v>58</v>
      </c>
      <c r="E85" t="s">
        <v>80</v>
      </c>
      <c r="F85">
        <v>1249</v>
      </c>
      <c r="G85">
        <v>116</v>
      </c>
      <c r="H85">
        <v>420</v>
      </c>
      <c r="I85">
        <v>8743</v>
      </c>
      <c r="J85">
        <v>8538</v>
      </c>
      <c r="K85">
        <v>63</v>
      </c>
      <c r="L85" t="s">
        <v>53</v>
      </c>
      <c r="M85" t="s">
        <v>380</v>
      </c>
      <c r="N85" s="2">
        <f>(Posts__2[[#This Row],[Likes]]+Posts__2[[#This Row],[Shares]]+Posts__2[[#This Row],[Comments]])/Posts__2[[#This Row],[Impressions]]</f>
        <v>0.20416333066453163</v>
      </c>
      <c r="O85" s="7">
        <f>Posts__2[[#This Row],[Likes]]+Posts__2[[#This Row],[Shares]]+Posts__2[[#This Row],[Comments]]</f>
        <v>1785</v>
      </c>
      <c r="P85" s="7">
        <f>_xlfn.XLOOKUP(Posts__2[[#This Row],[Platform]],'Engagement Summary'!B:B,'Engagement Summary'!G:G,"NA",0)</f>
        <v>9566</v>
      </c>
      <c r="Q85" t="str">
        <f>IFERROR(IF(C85 &lt; _xlfn.XLOOKUP(M85, 'Campaign Metadata'!A:A, 'Campaign Metadata'!B:B), "Before", "During"), "Not Found")</f>
        <v>Not Found</v>
      </c>
      <c r="R85" s="13">
        <f>Posts__2[[#This Row],[Engagement]]/Posts__2[[#This Row],[Ad Spend]]</f>
        <v>0.1865983692243362</v>
      </c>
    </row>
    <row r="86" spans="1:18" x14ac:dyDescent="0.3">
      <c r="A86" t="s">
        <v>155</v>
      </c>
      <c r="B86" t="s">
        <v>32</v>
      </c>
      <c r="C86" s="1">
        <v>45460</v>
      </c>
      <c r="D86" t="s">
        <v>68</v>
      </c>
      <c r="E86" t="s">
        <v>114</v>
      </c>
      <c r="F86">
        <v>954</v>
      </c>
      <c r="G86">
        <v>324</v>
      </c>
      <c r="H86">
        <v>288</v>
      </c>
      <c r="I86">
        <v>19080</v>
      </c>
      <c r="J86">
        <v>18859</v>
      </c>
      <c r="K86">
        <v>21</v>
      </c>
      <c r="L86" t="s">
        <v>48</v>
      </c>
      <c r="M86" t="s">
        <v>19</v>
      </c>
      <c r="N86" s="2">
        <f>(Posts__2[[#This Row],[Likes]]+Posts__2[[#This Row],[Shares]]+Posts__2[[#This Row],[Comments]])/Posts__2[[#This Row],[Impressions]]</f>
        <v>8.2075471698113203E-2</v>
      </c>
      <c r="O86" s="7">
        <f>Posts__2[[#This Row],[Likes]]+Posts__2[[#This Row],[Shares]]+Posts__2[[#This Row],[Comments]]</f>
        <v>1566</v>
      </c>
      <c r="P86" s="7">
        <f>_xlfn.XLOOKUP(Posts__2[[#This Row],[Platform]],'Engagement Summary'!B:B,'Engagement Summary'!G:G,"NA",0)</f>
        <v>26752</v>
      </c>
      <c r="Q86" t="str">
        <f>IFERROR(IF(C86 &lt; _xlfn.XLOOKUP(M86, 'Campaign Metadata'!A:A, 'Campaign Metadata'!B:B), "Before", "During"), "Not Found")</f>
        <v>Before</v>
      </c>
      <c r="R86" s="13">
        <f>Posts__2[[#This Row],[Engagement]]/Posts__2[[#This Row],[Ad Spend]]</f>
        <v>5.8537679425837319E-2</v>
      </c>
    </row>
    <row r="87" spans="1:18" x14ac:dyDescent="0.3">
      <c r="A87" t="s">
        <v>156</v>
      </c>
      <c r="B87" t="s">
        <v>30</v>
      </c>
      <c r="C87" s="1">
        <v>45574</v>
      </c>
      <c r="D87" t="s">
        <v>63</v>
      </c>
      <c r="E87" t="s">
        <v>91</v>
      </c>
      <c r="F87">
        <v>3068</v>
      </c>
      <c r="G87">
        <v>137</v>
      </c>
      <c r="H87">
        <v>329</v>
      </c>
      <c r="I87">
        <v>39884</v>
      </c>
      <c r="J87">
        <v>39404</v>
      </c>
      <c r="K87">
        <v>266</v>
      </c>
      <c r="L87" t="s">
        <v>60</v>
      </c>
      <c r="M87" t="s">
        <v>11</v>
      </c>
      <c r="N87" s="2">
        <f>(Posts__2[[#This Row],[Likes]]+Posts__2[[#This Row],[Shares]]+Posts__2[[#This Row],[Comments]])/Posts__2[[#This Row],[Impressions]]</f>
        <v>8.860696018453515E-2</v>
      </c>
      <c r="O87" s="7">
        <f>Posts__2[[#This Row],[Likes]]+Posts__2[[#This Row],[Shares]]+Posts__2[[#This Row],[Comments]]</f>
        <v>3534</v>
      </c>
      <c r="P87" s="7">
        <f>_xlfn.XLOOKUP(Posts__2[[#This Row],[Platform]],'Engagement Summary'!B:B,'Engagement Summary'!G:G,"NA",0)</f>
        <v>5904</v>
      </c>
      <c r="Q87" t="str">
        <f>IFERROR(IF(C87 &lt; _xlfn.XLOOKUP(M87, 'Campaign Metadata'!A:A, 'Campaign Metadata'!B:B), "Before", "During"), "Not Found")</f>
        <v>During</v>
      </c>
      <c r="R87" s="13">
        <f>Posts__2[[#This Row],[Engagement]]/Posts__2[[#This Row],[Ad Spend]]</f>
        <v>0.59857723577235777</v>
      </c>
    </row>
    <row r="88" spans="1:18" x14ac:dyDescent="0.3">
      <c r="A88" t="s">
        <v>157</v>
      </c>
      <c r="B88" t="s">
        <v>30</v>
      </c>
      <c r="C88" s="1">
        <v>45456</v>
      </c>
      <c r="D88" t="s">
        <v>58</v>
      </c>
      <c r="E88" t="s">
        <v>59</v>
      </c>
      <c r="F88">
        <v>2103</v>
      </c>
      <c r="G88">
        <v>892</v>
      </c>
      <c r="H88">
        <v>103</v>
      </c>
      <c r="I88">
        <v>39957</v>
      </c>
      <c r="J88">
        <v>39466</v>
      </c>
      <c r="K88">
        <v>28</v>
      </c>
      <c r="L88" t="s">
        <v>48</v>
      </c>
      <c r="M88" t="s">
        <v>380</v>
      </c>
      <c r="N88" s="2">
        <f>(Posts__2[[#This Row],[Likes]]+Posts__2[[#This Row],[Shares]]+Posts__2[[#This Row],[Comments]])/Posts__2[[#This Row],[Impressions]]</f>
        <v>7.7533348349475686E-2</v>
      </c>
      <c r="O88" s="7">
        <f>Posts__2[[#This Row],[Likes]]+Posts__2[[#This Row],[Shares]]+Posts__2[[#This Row],[Comments]]</f>
        <v>3098</v>
      </c>
      <c r="P88" s="7">
        <f>_xlfn.XLOOKUP(Posts__2[[#This Row],[Platform]],'Engagement Summary'!B:B,'Engagement Summary'!G:G,"NA",0)</f>
        <v>5904</v>
      </c>
      <c r="Q88" t="str">
        <f>IFERROR(IF(C88 &lt; _xlfn.XLOOKUP(M88, 'Campaign Metadata'!A:A, 'Campaign Metadata'!B:B), "Before", "During"), "Not Found")</f>
        <v>Not Found</v>
      </c>
      <c r="R88" s="13">
        <f>Posts__2[[#This Row],[Engagement]]/Posts__2[[#This Row],[Ad Spend]]</f>
        <v>0.52472899728997291</v>
      </c>
    </row>
    <row r="89" spans="1:18" x14ac:dyDescent="0.3">
      <c r="A89" t="s">
        <v>158</v>
      </c>
      <c r="B89" t="s">
        <v>30</v>
      </c>
      <c r="C89" s="1">
        <v>45584</v>
      </c>
      <c r="D89" t="s">
        <v>58</v>
      </c>
      <c r="E89" t="s">
        <v>59</v>
      </c>
      <c r="F89">
        <v>1816</v>
      </c>
      <c r="G89">
        <v>29</v>
      </c>
      <c r="H89">
        <v>41</v>
      </c>
      <c r="I89">
        <v>19976</v>
      </c>
      <c r="J89">
        <v>19262</v>
      </c>
      <c r="K89">
        <v>283</v>
      </c>
      <c r="L89" t="s">
        <v>53</v>
      </c>
      <c r="M89" t="s">
        <v>15</v>
      </c>
      <c r="N89" s="2">
        <f>(Posts__2[[#This Row],[Likes]]+Posts__2[[#This Row],[Shares]]+Posts__2[[#This Row],[Comments]])/Posts__2[[#This Row],[Impressions]]</f>
        <v>9.4413295955146179E-2</v>
      </c>
      <c r="O89" s="7">
        <f>Posts__2[[#This Row],[Likes]]+Posts__2[[#This Row],[Shares]]+Posts__2[[#This Row],[Comments]]</f>
        <v>1886</v>
      </c>
      <c r="P89" s="7">
        <f>_xlfn.XLOOKUP(Posts__2[[#This Row],[Platform]],'Engagement Summary'!B:B,'Engagement Summary'!G:G,"NA",0)</f>
        <v>5904</v>
      </c>
      <c r="Q89" t="str">
        <f>IFERROR(IF(C89 &lt; _xlfn.XLOOKUP(M89, 'Campaign Metadata'!A:A, 'Campaign Metadata'!B:B), "Before", "During"), "Not Found")</f>
        <v>Before</v>
      </c>
      <c r="R89" s="13">
        <f>Posts__2[[#This Row],[Engagement]]/Posts__2[[#This Row],[Ad Spend]]</f>
        <v>0.31944444444444442</v>
      </c>
    </row>
    <row r="90" spans="1:18" x14ac:dyDescent="0.3">
      <c r="A90" t="s">
        <v>159</v>
      </c>
      <c r="B90" t="s">
        <v>30</v>
      </c>
      <c r="C90" s="1">
        <v>45497</v>
      </c>
      <c r="D90" t="s">
        <v>68</v>
      </c>
      <c r="E90" t="s">
        <v>160</v>
      </c>
      <c r="F90">
        <v>725</v>
      </c>
      <c r="G90">
        <v>88</v>
      </c>
      <c r="H90">
        <v>428</v>
      </c>
      <c r="I90">
        <v>14500</v>
      </c>
      <c r="J90">
        <v>13637</v>
      </c>
      <c r="K90">
        <v>200</v>
      </c>
      <c r="L90" t="s">
        <v>48</v>
      </c>
      <c r="M90" t="s">
        <v>15</v>
      </c>
      <c r="N90" s="2">
        <f>(Posts__2[[#This Row],[Likes]]+Posts__2[[#This Row],[Shares]]+Posts__2[[#This Row],[Comments]])/Posts__2[[#This Row],[Impressions]]</f>
        <v>8.558620689655172E-2</v>
      </c>
      <c r="O90" s="7">
        <f>Posts__2[[#This Row],[Likes]]+Posts__2[[#This Row],[Shares]]+Posts__2[[#This Row],[Comments]]</f>
        <v>1241</v>
      </c>
      <c r="P90" s="7">
        <f>_xlfn.XLOOKUP(Posts__2[[#This Row],[Platform]],'Engagement Summary'!B:B,'Engagement Summary'!G:G,"NA",0)</f>
        <v>5904</v>
      </c>
      <c r="Q90" t="str">
        <f>IFERROR(IF(C90 &lt; _xlfn.XLOOKUP(M90, 'Campaign Metadata'!A:A, 'Campaign Metadata'!B:B), "Before", "During"), "Not Found")</f>
        <v>Before</v>
      </c>
      <c r="R90" s="13">
        <f>Posts__2[[#This Row],[Engagement]]/Posts__2[[#This Row],[Ad Spend]]</f>
        <v>0.21019647696476965</v>
      </c>
    </row>
    <row r="91" spans="1:18" x14ac:dyDescent="0.3">
      <c r="A91" t="s">
        <v>159</v>
      </c>
      <c r="B91" t="s">
        <v>30</v>
      </c>
      <c r="C91" s="1">
        <v>45497</v>
      </c>
      <c r="D91" t="s">
        <v>68</v>
      </c>
      <c r="E91" t="s">
        <v>160</v>
      </c>
      <c r="F91">
        <v>725</v>
      </c>
      <c r="G91">
        <v>88</v>
      </c>
      <c r="H91">
        <v>428</v>
      </c>
      <c r="I91">
        <v>14500</v>
      </c>
      <c r="J91">
        <v>13637</v>
      </c>
      <c r="K91">
        <v>200</v>
      </c>
      <c r="L91" t="s">
        <v>53</v>
      </c>
      <c r="M91" t="s">
        <v>15</v>
      </c>
      <c r="N91" s="2">
        <f>(Posts__2[[#This Row],[Likes]]+Posts__2[[#This Row],[Shares]]+Posts__2[[#This Row],[Comments]])/Posts__2[[#This Row],[Impressions]]</f>
        <v>8.558620689655172E-2</v>
      </c>
      <c r="O91" s="7">
        <f>Posts__2[[#This Row],[Likes]]+Posts__2[[#This Row],[Shares]]+Posts__2[[#This Row],[Comments]]</f>
        <v>1241</v>
      </c>
      <c r="P91" s="7">
        <f>_xlfn.XLOOKUP(Posts__2[[#This Row],[Platform]],'Engagement Summary'!B:B,'Engagement Summary'!G:G,"NA",0)</f>
        <v>5904</v>
      </c>
      <c r="Q91" t="str">
        <f>IFERROR(IF(C91 &lt; _xlfn.XLOOKUP(M91, 'Campaign Metadata'!A:A, 'Campaign Metadata'!B:B), "Before", "During"), "Not Found")</f>
        <v>Before</v>
      </c>
      <c r="R91" s="13">
        <f>Posts__2[[#This Row],[Engagement]]/Posts__2[[#This Row],[Ad Spend]]</f>
        <v>0.21019647696476965</v>
      </c>
    </row>
    <row r="92" spans="1:18" x14ac:dyDescent="0.3">
      <c r="A92" t="s">
        <v>159</v>
      </c>
      <c r="B92" t="s">
        <v>30</v>
      </c>
      <c r="C92" s="1">
        <v>45497</v>
      </c>
      <c r="D92" t="s">
        <v>68</v>
      </c>
      <c r="E92" t="s">
        <v>160</v>
      </c>
      <c r="F92">
        <v>725</v>
      </c>
      <c r="G92">
        <v>88</v>
      </c>
      <c r="H92">
        <v>428</v>
      </c>
      <c r="I92">
        <v>14500</v>
      </c>
      <c r="J92">
        <v>13637</v>
      </c>
      <c r="K92">
        <v>200</v>
      </c>
      <c r="L92" t="s">
        <v>49</v>
      </c>
      <c r="M92" t="s">
        <v>15</v>
      </c>
      <c r="N92" s="2">
        <f>(Posts__2[[#This Row],[Likes]]+Posts__2[[#This Row],[Shares]]+Posts__2[[#This Row],[Comments]])/Posts__2[[#This Row],[Impressions]]</f>
        <v>8.558620689655172E-2</v>
      </c>
      <c r="O92" s="7">
        <f>Posts__2[[#This Row],[Likes]]+Posts__2[[#This Row],[Shares]]+Posts__2[[#This Row],[Comments]]</f>
        <v>1241</v>
      </c>
      <c r="P92" s="7">
        <f>_xlfn.XLOOKUP(Posts__2[[#This Row],[Platform]],'Engagement Summary'!B:B,'Engagement Summary'!G:G,"NA",0)</f>
        <v>5904</v>
      </c>
      <c r="Q92" t="str">
        <f>IFERROR(IF(C92 &lt; _xlfn.XLOOKUP(M92, 'Campaign Metadata'!A:A, 'Campaign Metadata'!B:B), "Before", "During"), "Not Found")</f>
        <v>Before</v>
      </c>
      <c r="R92" s="13">
        <f>Posts__2[[#This Row],[Engagement]]/Posts__2[[#This Row],[Ad Spend]]</f>
        <v>0.21019647696476965</v>
      </c>
    </row>
    <row r="93" spans="1:18" x14ac:dyDescent="0.3">
      <c r="A93" t="s">
        <v>161</v>
      </c>
      <c r="B93" t="s">
        <v>33</v>
      </c>
      <c r="C93" s="1">
        <v>45580</v>
      </c>
      <c r="D93" t="s">
        <v>82</v>
      </c>
      <c r="E93" t="s">
        <v>162</v>
      </c>
      <c r="F93">
        <v>1094</v>
      </c>
      <c r="G93">
        <v>472</v>
      </c>
      <c r="H93">
        <v>21</v>
      </c>
      <c r="I93">
        <v>9846</v>
      </c>
      <c r="J93">
        <v>9609</v>
      </c>
      <c r="K93">
        <v>112</v>
      </c>
      <c r="L93" t="s">
        <v>60</v>
      </c>
      <c r="M93" t="s">
        <v>380</v>
      </c>
      <c r="N93" s="2">
        <f>(Posts__2[[#This Row],[Likes]]+Posts__2[[#This Row],[Shares]]+Posts__2[[#This Row],[Comments]])/Posts__2[[#This Row],[Impressions]]</f>
        <v>0.16118220597196831</v>
      </c>
      <c r="O93" s="7">
        <f>Posts__2[[#This Row],[Likes]]+Posts__2[[#This Row],[Shares]]+Posts__2[[#This Row],[Comments]]</f>
        <v>1587</v>
      </c>
      <c r="P93" s="7">
        <f>_xlfn.XLOOKUP(Posts__2[[#This Row],[Platform]],'Engagement Summary'!B:B,'Engagement Summary'!G:G,"NA",0)</f>
        <v>30671</v>
      </c>
      <c r="Q93" t="str">
        <f>IFERROR(IF(C93 &lt; _xlfn.XLOOKUP(M93, 'Campaign Metadata'!A:A, 'Campaign Metadata'!B:B), "Before", "During"), "Not Found")</f>
        <v>Not Found</v>
      </c>
      <c r="R93" s="13">
        <f>Posts__2[[#This Row],[Engagement]]/Posts__2[[#This Row],[Ad Spend]]</f>
        <v>5.1742688533142053E-2</v>
      </c>
    </row>
    <row r="94" spans="1:18" x14ac:dyDescent="0.3">
      <c r="A94" t="s">
        <v>163</v>
      </c>
      <c r="B94" t="s">
        <v>31</v>
      </c>
      <c r="C94" s="1">
        <v>45635</v>
      </c>
      <c r="D94" t="s">
        <v>68</v>
      </c>
      <c r="E94" t="s">
        <v>73</v>
      </c>
      <c r="F94">
        <v>1841</v>
      </c>
      <c r="G94">
        <v>851</v>
      </c>
      <c r="H94">
        <v>342</v>
      </c>
      <c r="I94">
        <v>34979</v>
      </c>
      <c r="J94">
        <v>34154</v>
      </c>
      <c r="K94">
        <v>255</v>
      </c>
      <c r="L94" t="s">
        <v>48</v>
      </c>
      <c r="M94" t="s">
        <v>19</v>
      </c>
      <c r="N94" s="2">
        <f>(Posts__2[[#This Row],[Likes]]+Posts__2[[#This Row],[Shares]]+Posts__2[[#This Row],[Comments]])/Posts__2[[#This Row],[Impressions]]</f>
        <v>8.6737756939878216E-2</v>
      </c>
      <c r="O94" s="7">
        <f>Posts__2[[#This Row],[Likes]]+Posts__2[[#This Row],[Shares]]+Posts__2[[#This Row],[Comments]]</f>
        <v>3034</v>
      </c>
      <c r="P94" s="7">
        <f>_xlfn.XLOOKUP(Posts__2[[#This Row],[Platform]],'Engagement Summary'!B:B,'Engagement Summary'!G:G,"NA",0)</f>
        <v>9566</v>
      </c>
      <c r="Q94" t="str">
        <f>IFERROR(IF(C94 &lt; _xlfn.XLOOKUP(M94, 'Campaign Metadata'!A:A, 'Campaign Metadata'!B:B), "Before", "During"), "Not Found")</f>
        <v>Before</v>
      </c>
      <c r="R94" s="13">
        <f>Posts__2[[#This Row],[Engagement]]/Posts__2[[#This Row],[Ad Spend]]</f>
        <v>0.31716495923060839</v>
      </c>
    </row>
    <row r="95" spans="1:18" x14ac:dyDescent="0.3">
      <c r="A95" t="s">
        <v>164</v>
      </c>
      <c r="B95" t="s">
        <v>30</v>
      </c>
      <c r="C95" s="1">
        <v>45766</v>
      </c>
      <c r="D95" t="s">
        <v>68</v>
      </c>
      <c r="E95" t="s">
        <v>160</v>
      </c>
      <c r="F95">
        <v>4177</v>
      </c>
      <c r="G95">
        <v>569</v>
      </c>
      <c r="H95">
        <v>55</v>
      </c>
      <c r="I95">
        <v>25062</v>
      </c>
      <c r="J95">
        <v>24847</v>
      </c>
      <c r="K95">
        <v>230</v>
      </c>
      <c r="L95" t="s">
        <v>48</v>
      </c>
      <c r="M95" t="s">
        <v>7</v>
      </c>
      <c r="N95" s="2">
        <f>(Posts__2[[#This Row],[Likes]]+Posts__2[[#This Row],[Shares]]+Posts__2[[#This Row],[Comments]])/Posts__2[[#This Row],[Impressions]]</f>
        <v>0.19156491900087783</v>
      </c>
      <c r="O95" s="7">
        <f>Posts__2[[#This Row],[Likes]]+Posts__2[[#This Row],[Shares]]+Posts__2[[#This Row],[Comments]]</f>
        <v>4801</v>
      </c>
      <c r="P95" s="7">
        <f>_xlfn.XLOOKUP(Posts__2[[#This Row],[Platform]],'Engagement Summary'!B:B,'Engagement Summary'!G:G,"NA",0)</f>
        <v>5904</v>
      </c>
      <c r="Q95" t="str">
        <f>IFERROR(IF(C95 &lt; _xlfn.XLOOKUP(M95, 'Campaign Metadata'!A:A, 'Campaign Metadata'!B:B), "Before", "During"), "Not Found")</f>
        <v>During</v>
      </c>
      <c r="R95" s="13">
        <f>Posts__2[[#This Row],[Engagement]]/Posts__2[[#This Row],[Ad Spend]]</f>
        <v>0.81317750677506773</v>
      </c>
    </row>
    <row r="96" spans="1:18" x14ac:dyDescent="0.3">
      <c r="A96" t="s">
        <v>165</v>
      </c>
      <c r="B96" t="s">
        <v>33</v>
      </c>
      <c r="C96" s="1">
        <v>45684</v>
      </c>
      <c r="D96" t="s">
        <v>51</v>
      </c>
      <c r="E96" t="s">
        <v>99</v>
      </c>
      <c r="F96">
        <v>3428</v>
      </c>
      <c r="G96">
        <v>305</v>
      </c>
      <c r="H96">
        <v>85</v>
      </c>
      <c r="I96">
        <v>58276</v>
      </c>
      <c r="J96">
        <v>58052</v>
      </c>
      <c r="K96">
        <v>242</v>
      </c>
      <c r="L96" t="s">
        <v>60</v>
      </c>
      <c r="M96" t="s">
        <v>19</v>
      </c>
      <c r="N96" s="2">
        <f>(Posts__2[[#This Row],[Likes]]+Posts__2[[#This Row],[Shares]]+Posts__2[[#This Row],[Comments]])/Posts__2[[#This Row],[Impressions]]</f>
        <v>6.5515821264328367E-2</v>
      </c>
      <c r="O96" s="7">
        <f>Posts__2[[#This Row],[Likes]]+Posts__2[[#This Row],[Shares]]+Posts__2[[#This Row],[Comments]]</f>
        <v>3818</v>
      </c>
      <c r="P96" s="7">
        <f>_xlfn.XLOOKUP(Posts__2[[#This Row],[Platform]],'Engagement Summary'!B:B,'Engagement Summary'!G:G,"NA",0)</f>
        <v>30671</v>
      </c>
      <c r="Q96" t="str">
        <f>IFERROR(IF(C96 &lt; _xlfn.XLOOKUP(M96, 'Campaign Metadata'!A:A, 'Campaign Metadata'!B:B), "Before", "During"), "Not Found")</f>
        <v>Before</v>
      </c>
      <c r="R96" s="13">
        <f>Posts__2[[#This Row],[Engagement]]/Posts__2[[#This Row],[Ad Spend]]</f>
        <v>0.12448241009422581</v>
      </c>
    </row>
    <row r="97" spans="1:18" x14ac:dyDescent="0.3">
      <c r="A97" t="s">
        <v>165</v>
      </c>
      <c r="B97" t="s">
        <v>33</v>
      </c>
      <c r="C97" s="1">
        <v>45684</v>
      </c>
      <c r="D97" t="s">
        <v>51</v>
      </c>
      <c r="E97" t="s">
        <v>99</v>
      </c>
      <c r="F97">
        <v>3428</v>
      </c>
      <c r="G97">
        <v>305</v>
      </c>
      <c r="H97">
        <v>85</v>
      </c>
      <c r="I97">
        <v>58276</v>
      </c>
      <c r="J97">
        <v>58052</v>
      </c>
      <c r="K97">
        <v>242</v>
      </c>
      <c r="L97" t="s">
        <v>54</v>
      </c>
      <c r="M97" t="s">
        <v>19</v>
      </c>
      <c r="N97" s="2">
        <f>(Posts__2[[#This Row],[Likes]]+Posts__2[[#This Row],[Shares]]+Posts__2[[#This Row],[Comments]])/Posts__2[[#This Row],[Impressions]]</f>
        <v>6.5515821264328367E-2</v>
      </c>
      <c r="O97" s="7">
        <f>Posts__2[[#This Row],[Likes]]+Posts__2[[#This Row],[Shares]]+Posts__2[[#This Row],[Comments]]</f>
        <v>3818</v>
      </c>
      <c r="P97" s="7">
        <f>_xlfn.XLOOKUP(Posts__2[[#This Row],[Platform]],'Engagement Summary'!B:B,'Engagement Summary'!G:G,"NA",0)</f>
        <v>30671</v>
      </c>
      <c r="Q97" t="str">
        <f>IFERROR(IF(C97 &lt; _xlfn.XLOOKUP(M97, 'Campaign Metadata'!A:A, 'Campaign Metadata'!B:B), "Before", "During"), "Not Found")</f>
        <v>Before</v>
      </c>
      <c r="R97" s="13">
        <f>Posts__2[[#This Row],[Engagement]]/Posts__2[[#This Row],[Ad Spend]]</f>
        <v>0.12448241009422581</v>
      </c>
    </row>
    <row r="98" spans="1:18" x14ac:dyDescent="0.3">
      <c r="A98" t="s">
        <v>166</v>
      </c>
      <c r="B98" t="s">
        <v>32</v>
      </c>
      <c r="C98" s="1">
        <v>45449</v>
      </c>
      <c r="D98" t="s">
        <v>82</v>
      </c>
      <c r="E98" t="s">
        <v>121</v>
      </c>
      <c r="F98">
        <v>1436</v>
      </c>
      <c r="G98">
        <v>765</v>
      </c>
      <c r="H98">
        <v>496</v>
      </c>
      <c r="I98">
        <v>12924</v>
      </c>
      <c r="J98">
        <v>12701</v>
      </c>
      <c r="K98">
        <v>197</v>
      </c>
      <c r="L98" t="s">
        <v>48</v>
      </c>
      <c r="M98" t="s">
        <v>15</v>
      </c>
      <c r="N98" s="2">
        <f>(Posts__2[[#This Row],[Likes]]+Posts__2[[#This Row],[Shares]]+Posts__2[[#This Row],[Comments]])/Posts__2[[#This Row],[Impressions]]</f>
        <v>0.20868152274837512</v>
      </c>
      <c r="O98" s="7">
        <f>Posts__2[[#This Row],[Likes]]+Posts__2[[#This Row],[Shares]]+Posts__2[[#This Row],[Comments]]</f>
        <v>2697</v>
      </c>
      <c r="P98" s="7">
        <f>_xlfn.XLOOKUP(Posts__2[[#This Row],[Platform]],'Engagement Summary'!B:B,'Engagement Summary'!G:G,"NA",0)</f>
        <v>26752</v>
      </c>
      <c r="Q98" t="str">
        <f>IFERROR(IF(C98 &lt; _xlfn.XLOOKUP(M98, 'Campaign Metadata'!A:A, 'Campaign Metadata'!B:B), "Before", "During"), "Not Found")</f>
        <v>Before</v>
      </c>
      <c r="R98" s="13">
        <f>Posts__2[[#This Row],[Engagement]]/Posts__2[[#This Row],[Ad Spend]]</f>
        <v>0.10081489234449761</v>
      </c>
    </row>
    <row r="99" spans="1:18" x14ac:dyDescent="0.3">
      <c r="A99" t="s">
        <v>167</v>
      </c>
      <c r="B99" t="s">
        <v>31</v>
      </c>
      <c r="C99" s="1">
        <v>45480</v>
      </c>
      <c r="D99" t="s">
        <v>58</v>
      </c>
      <c r="E99" t="s">
        <v>80</v>
      </c>
      <c r="F99">
        <v>302</v>
      </c>
      <c r="G99">
        <v>47</v>
      </c>
      <c r="H99">
        <v>430</v>
      </c>
      <c r="I99">
        <v>5738</v>
      </c>
      <c r="J99">
        <v>4890</v>
      </c>
      <c r="K99">
        <v>25</v>
      </c>
      <c r="L99" t="s">
        <v>53</v>
      </c>
      <c r="M99" t="s">
        <v>19</v>
      </c>
      <c r="N99" s="2">
        <f>(Posts__2[[#This Row],[Likes]]+Posts__2[[#This Row],[Shares]]+Posts__2[[#This Row],[Comments]])/Posts__2[[#This Row],[Impressions]]</f>
        <v>0.13576158940397351</v>
      </c>
      <c r="O99" s="7">
        <f>Posts__2[[#This Row],[Likes]]+Posts__2[[#This Row],[Shares]]+Posts__2[[#This Row],[Comments]]</f>
        <v>779</v>
      </c>
      <c r="P99" s="7">
        <f>_xlfn.XLOOKUP(Posts__2[[#This Row],[Platform]],'Engagement Summary'!B:B,'Engagement Summary'!G:G,"NA",0)</f>
        <v>9566</v>
      </c>
      <c r="Q99" t="str">
        <f>IFERROR(IF(C99 &lt; _xlfn.XLOOKUP(M99, 'Campaign Metadata'!A:A, 'Campaign Metadata'!B:B), "Before", "During"), "Not Found")</f>
        <v>Before</v>
      </c>
      <c r="R99" s="13">
        <f>Posts__2[[#This Row],[Engagement]]/Posts__2[[#This Row],[Ad Spend]]</f>
        <v>8.1434246288939999E-2</v>
      </c>
    </row>
    <row r="100" spans="1:18" x14ac:dyDescent="0.3">
      <c r="A100" t="s">
        <v>168</v>
      </c>
      <c r="B100" t="s">
        <v>32</v>
      </c>
      <c r="C100" s="1">
        <v>45667</v>
      </c>
      <c r="D100" t="s">
        <v>68</v>
      </c>
      <c r="E100" t="s">
        <v>114</v>
      </c>
      <c r="F100">
        <v>2214</v>
      </c>
      <c r="G100">
        <v>249</v>
      </c>
      <c r="H100">
        <v>152</v>
      </c>
      <c r="I100">
        <v>15498</v>
      </c>
      <c r="J100">
        <v>14800</v>
      </c>
      <c r="K100">
        <v>180</v>
      </c>
      <c r="L100" t="s">
        <v>60</v>
      </c>
      <c r="M100" t="s">
        <v>380</v>
      </c>
      <c r="N100" s="2">
        <f>(Posts__2[[#This Row],[Likes]]+Posts__2[[#This Row],[Shares]]+Posts__2[[#This Row],[Comments]])/Posts__2[[#This Row],[Impressions]]</f>
        <v>0.16873144921925409</v>
      </c>
      <c r="O100" s="7">
        <f>Posts__2[[#This Row],[Likes]]+Posts__2[[#This Row],[Shares]]+Posts__2[[#This Row],[Comments]]</f>
        <v>2615</v>
      </c>
      <c r="P100" s="7">
        <f>_xlfn.XLOOKUP(Posts__2[[#This Row],[Platform]],'Engagement Summary'!B:B,'Engagement Summary'!G:G,"NA",0)</f>
        <v>26752</v>
      </c>
      <c r="Q100" t="str">
        <f>IFERROR(IF(C100 &lt; _xlfn.XLOOKUP(M100, 'Campaign Metadata'!A:A, 'Campaign Metadata'!B:B), "Before", "During"), "Not Found")</f>
        <v>Not Found</v>
      </c>
      <c r="R100" s="13">
        <f>Posts__2[[#This Row],[Engagement]]/Posts__2[[#This Row],[Ad Spend]]</f>
        <v>9.7749700956937802E-2</v>
      </c>
    </row>
    <row r="101" spans="1:18" x14ac:dyDescent="0.3">
      <c r="A101" t="s">
        <v>169</v>
      </c>
      <c r="B101" t="s">
        <v>30</v>
      </c>
      <c r="C101" s="1">
        <v>45446</v>
      </c>
      <c r="D101" t="s">
        <v>68</v>
      </c>
      <c r="E101" t="s">
        <v>160</v>
      </c>
      <c r="F101">
        <v>3861</v>
      </c>
      <c r="G101">
        <v>960</v>
      </c>
      <c r="H101">
        <v>101</v>
      </c>
      <c r="I101">
        <v>69498</v>
      </c>
      <c r="J101">
        <v>68817</v>
      </c>
      <c r="K101">
        <v>297</v>
      </c>
      <c r="L101" t="s">
        <v>53</v>
      </c>
      <c r="M101" t="s">
        <v>19</v>
      </c>
      <c r="N101" s="2">
        <f>(Posts__2[[#This Row],[Likes]]+Posts__2[[#This Row],[Shares]]+Posts__2[[#This Row],[Comments]])/Posts__2[[#This Row],[Impressions]]</f>
        <v>7.0822181933293038E-2</v>
      </c>
      <c r="O101" s="7">
        <f>Posts__2[[#This Row],[Likes]]+Posts__2[[#This Row],[Shares]]+Posts__2[[#This Row],[Comments]]</f>
        <v>4922</v>
      </c>
      <c r="P101" s="7">
        <f>_xlfn.XLOOKUP(Posts__2[[#This Row],[Platform]],'Engagement Summary'!B:B,'Engagement Summary'!G:G,"NA",0)</f>
        <v>5904</v>
      </c>
      <c r="Q101" t="str">
        <f>IFERROR(IF(C101 &lt; _xlfn.XLOOKUP(M101, 'Campaign Metadata'!A:A, 'Campaign Metadata'!B:B), "Before", "During"), "Not Found")</f>
        <v>Before</v>
      </c>
      <c r="R101" s="13">
        <f>Posts__2[[#This Row],[Engagement]]/Posts__2[[#This Row],[Ad Spend]]</f>
        <v>0.83367208672086723</v>
      </c>
    </row>
    <row r="102" spans="1:18" x14ac:dyDescent="0.3">
      <c r="A102" t="s">
        <v>170</v>
      </c>
      <c r="B102" t="s">
        <v>31</v>
      </c>
      <c r="C102" s="1">
        <v>45740</v>
      </c>
      <c r="D102" t="s">
        <v>68</v>
      </c>
      <c r="E102" t="s">
        <v>73</v>
      </c>
      <c r="F102">
        <v>1263</v>
      </c>
      <c r="G102">
        <v>397</v>
      </c>
      <c r="H102">
        <v>357</v>
      </c>
      <c r="I102">
        <v>25260</v>
      </c>
      <c r="J102">
        <v>24615</v>
      </c>
      <c r="K102">
        <v>137</v>
      </c>
      <c r="L102" t="s">
        <v>60</v>
      </c>
      <c r="M102" t="s">
        <v>19</v>
      </c>
      <c r="N102" s="2">
        <f>(Posts__2[[#This Row],[Likes]]+Posts__2[[#This Row],[Shares]]+Posts__2[[#This Row],[Comments]])/Posts__2[[#This Row],[Impressions]]</f>
        <v>7.984956452889945E-2</v>
      </c>
      <c r="O102" s="7">
        <f>Posts__2[[#This Row],[Likes]]+Posts__2[[#This Row],[Shares]]+Posts__2[[#This Row],[Comments]]</f>
        <v>2017</v>
      </c>
      <c r="P102" s="7">
        <f>_xlfn.XLOOKUP(Posts__2[[#This Row],[Platform]],'Engagement Summary'!B:B,'Engagement Summary'!G:G,"NA",0)</f>
        <v>9566</v>
      </c>
      <c r="Q102" t="str">
        <f>IFERROR(IF(C102 &lt; _xlfn.XLOOKUP(M102, 'Campaign Metadata'!A:A, 'Campaign Metadata'!B:B), "Before", "During"), "Not Found")</f>
        <v>During</v>
      </c>
      <c r="R102" s="13">
        <f>Posts__2[[#This Row],[Engagement]]/Posts__2[[#This Row],[Ad Spend]]</f>
        <v>0.21085093037842359</v>
      </c>
    </row>
    <row r="103" spans="1:18" x14ac:dyDescent="0.3">
      <c r="A103" t="s">
        <v>171</v>
      </c>
      <c r="B103" t="s">
        <v>32</v>
      </c>
      <c r="C103" s="1">
        <v>45586</v>
      </c>
      <c r="D103" t="s">
        <v>58</v>
      </c>
      <c r="E103" t="s">
        <v>124</v>
      </c>
      <c r="F103">
        <v>3801</v>
      </c>
      <c r="G103">
        <v>967</v>
      </c>
      <c r="H103">
        <v>401</v>
      </c>
      <c r="I103">
        <v>38010</v>
      </c>
      <c r="J103">
        <v>37625</v>
      </c>
      <c r="K103">
        <v>236</v>
      </c>
      <c r="L103" t="s">
        <v>48</v>
      </c>
      <c r="M103" t="s">
        <v>15</v>
      </c>
      <c r="N103" s="2">
        <f>(Posts__2[[#This Row],[Likes]]+Posts__2[[#This Row],[Shares]]+Posts__2[[#This Row],[Comments]])/Posts__2[[#This Row],[Impressions]]</f>
        <v>0.13599052880820836</v>
      </c>
      <c r="O103" s="7">
        <f>Posts__2[[#This Row],[Likes]]+Posts__2[[#This Row],[Shares]]+Posts__2[[#This Row],[Comments]]</f>
        <v>5169</v>
      </c>
      <c r="P103" s="7">
        <f>_xlfn.XLOOKUP(Posts__2[[#This Row],[Platform]],'Engagement Summary'!B:B,'Engagement Summary'!G:G,"NA",0)</f>
        <v>26752</v>
      </c>
      <c r="Q103" t="str">
        <f>IFERROR(IF(C103 &lt; _xlfn.XLOOKUP(M103, 'Campaign Metadata'!A:A, 'Campaign Metadata'!B:B), "Before", "During"), "Not Found")</f>
        <v>Before</v>
      </c>
      <c r="R103" s="13">
        <f>Posts__2[[#This Row],[Engagement]]/Posts__2[[#This Row],[Ad Spend]]</f>
        <v>0.1932191985645933</v>
      </c>
    </row>
    <row r="104" spans="1:18" x14ac:dyDescent="0.3">
      <c r="A104" t="s">
        <v>172</v>
      </c>
      <c r="B104" t="s">
        <v>30</v>
      </c>
      <c r="C104" s="1">
        <v>45637</v>
      </c>
      <c r="D104" t="s">
        <v>82</v>
      </c>
      <c r="E104" t="s">
        <v>89</v>
      </c>
      <c r="F104">
        <v>1431</v>
      </c>
      <c r="G104">
        <v>951</v>
      </c>
      <c r="H104">
        <v>26</v>
      </c>
      <c r="I104">
        <v>8586</v>
      </c>
      <c r="J104">
        <v>8396</v>
      </c>
      <c r="K104">
        <v>150</v>
      </c>
      <c r="L104" t="s">
        <v>60</v>
      </c>
      <c r="M104" t="s">
        <v>15</v>
      </c>
      <c r="N104" s="2">
        <f>(Posts__2[[#This Row],[Likes]]+Posts__2[[#This Row],[Shares]]+Posts__2[[#This Row],[Comments]])/Posts__2[[#This Row],[Impressions]]</f>
        <v>0.28045655718611695</v>
      </c>
      <c r="O104" s="7">
        <f>Posts__2[[#This Row],[Likes]]+Posts__2[[#This Row],[Shares]]+Posts__2[[#This Row],[Comments]]</f>
        <v>2408</v>
      </c>
      <c r="P104" s="7">
        <f>_xlfn.XLOOKUP(Posts__2[[#This Row],[Platform]],'Engagement Summary'!B:B,'Engagement Summary'!G:G,"NA",0)</f>
        <v>5904</v>
      </c>
      <c r="Q104" t="str">
        <f>IFERROR(IF(C104 &lt; _xlfn.XLOOKUP(M104, 'Campaign Metadata'!A:A, 'Campaign Metadata'!B:B), "Before", "During"), "Not Found")</f>
        <v>Before</v>
      </c>
      <c r="R104" s="13">
        <f>Posts__2[[#This Row],[Engagement]]/Posts__2[[#This Row],[Ad Spend]]</f>
        <v>0.40785907859078591</v>
      </c>
    </row>
    <row r="105" spans="1:18" x14ac:dyDescent="0.3">
      <c r="A105" t="s">
        <v>173</v>
      </c>
      <c r="B105" t="s">
        <v>30</v>
      </c>
      <c r="C105" s="1">
        <v>45603</v>
      </c>
      <c r="D105" t="s">
        <v>68</v>
      </c>
      <c r="E105" t="s">
        <v>160</v>
      </c>
      <c r="F105">
        <v>2647</v>
      </c>
      <c r="G105">
        <v>304</v>
      </c>
      <c r="H105">
        <v>170</v>
      </c>
      <c r="I105">
        <v>18529</v>
      </c>
      <c r="J105">
        <v>17841</v>
      </c>
      <c r="K105">
        <v>46</v>
      </c>
      <c r="L105" t="s">
        <v>48</v>
      </c>
      <c r="M105" t="s">
        <v>15</v>
      </c>
      <c r="N105" s="2">
        <f>(Posts__2[[#This Row],[Likes]]+Posts__2[[#This Row],[Shares]]+Posts__2[[#This Row],[Comments]])/Posts__2[[#This Row],[Impressions]]</f>
        <v>0.16843866371633656</v>
      </c>
      <c r="O105" s="7">
        <f>Posts__2[[#This Row],[Likes]]+Posts__2[[#This Row],[Shares]]+Posts__2[[#This Row],[Comments]]</f>
        <v>3121</v>
      </c>
      <c r="P105" s="7">
        <f>_xlfn.XLOOKUP(Posts__2[[#This Row],[Platform]],'Engagement Summary'!B:B,'Engagement Summary'!G:G,"NA",0)</f>
        <v>5904</v>
      </c>
      <c r="Q105" t="str">
        <f>IFERROR(IF(C105 &lt; _xlfn.XLOOKUP(M105, 'Campaign Metadata'!A:A, 'Campaign Metadata'!B:B), "Before", "During"), "Not Found")</f>
        <v>Before</v>
      </c>
      <c r="R105" s="13">
        <f>Posts__2[[#This Row],[Engagement]]/Posts__2[[#This Row],[Ad Spend]]</f>
        <v>0.52862466124661245</v>
      </c>
    </row>
    <row r="106" spans="1:18" x14ac:dyDescent="0.3">
      <c r="A106" t="s">
        <v>174</v>
      </c>
      <c r="B106" t="s">
        <v>30</v>
      </c>
      <c r="C106" s="1">
        <v>45604</v>
      </c>
      <c r="D106" t="s">
        <v>51</v>
      </c>
      <c r="E106" t="s">
        <v>104</v>
      </c>
      <c r="F106">
        <v>3182</v>
      </c>
      <c r="G106">
        <v>559</v>
      </c>
      <c r="H106">
        <v>160</v>
      </c>
      <c r="I106">
        <v>57276</v>
      </c>
      <c r="J106">
        <v>56890</v>
      </c>
      <c r="K106">
        <v>163</v>
      </c>
      <c r="L106" t="s">
        <v>48</v>
      </c>
      <c r="M106" t="s">
        <v>19</v>
      </c>
      <c r="N106" s="2">
        <f>(Posts__2[[#This Row],[Likes]]+Posts__2[[#This Row],[Shares]]+Posts__2[[#This Row],[Comments]])/Posts__2[[#This Row],[Impressions]]</f>
        <v>6.8108806480899509E-2</v>
      </c>
      <c r="O106" s="7">
        <f>Posts__2[[#This Row],[Likes]]+Posts__2[[#This Row],[Shares]]+Posts__2[[#This Row],[Comments]]</f>
        <v>3901</v>
      </c>
      <c r="P106" s="7">
        <f>_xlfn.XLOOKUP(Posts__2[[#This Row],[Platform]],'Engagement Summary'!B:B,'Engagement Summary'!G:G,"NA",0)</f>
        <v>5904</v>
      </c>
      <c r="Q106" t="str">
        <f>IFERROR(IF(C106 &lt; _xlfn.XLOOKUP(M106, 'Campaign Metadata'!A:A, 'Campaign Metadata'!B:B), "Before", "During"), "Not Found")</f>
        <v>Before</v>
      </c>
      <c r="R106" s="13">
        <f>Posts__2[[#This Row],[Engagement]]/Posts__2[[#This Row],[Ad Spend]]</f>
        <v>0.6607384823848238</v>
      </c>
    </row>
    <row r="107" spans="1:18" x14ac:dyDescent="0.3">
      <c r="A107" t="s">
        <v>175</v>
      </c>
      <c r="B107" t="s">
        <v>32</v>
      </c>
      <c r="C107" s="1">
        <v>45545</v>
      </c>
      <c r="D107" t="s">
        <v>68</v>
      </c>
      <c r="E107" t="s">
        <v>114</v>
      </c>
      <c r="F107">
        <v>1238</v>
      </c>
      <c r="G107">
        <v>366</v>
      </c>
      <c r="H107">
        <v>444</v>
      </c>
      <c r="I107">
        <v>19808</v>
      </c>
      <c r="J107">
        <v>19334</v>
      </c>
      <c r="K107">
        <v>123</v>
      </c>
      <c r="L107" t="s">
        <v>48</v>
      </c>
      <c r="M107" t="s">
        <v>380</v>
      </c>
      <c r="N107" s="2">
        <f>(Posts__2[[#This Row],[Likes]]+Posts__2[[#This Row],[Shares]]+Posts__2[[#This Row],[Comments]])/Posts__2[[#This Row],[Impressions]]</f>
        <v>0.10339256865912763</v>
      </c>
      <c r="O107" s="7">
        <f>Posts__2[[#This Row],[Likes]]+Posts__2[[#This Row],[Shares]]+Posts__2[[#This Row],[Comments]]</f>
        <v>2048</v>
      </c>
      <c r="P107" s="7">
        <f>_xlfn.XLOOKUP(Posts__2[[#This Row],[Platform]],'Engagement Summary'!B:B,'Engagement Summary'!G:G,"NA",0)</f>
        <v>26752</v>
      </c>
      <c r="Q107" t="str">
        <f>IFERROR(IF(C107 &lt; _xlfn.XLOOKUP(M107, 'Campaign Metadata'!A:A, 'Campaign Metadata'!B:B), "Before", "During"), "Not Found")</f>
        <v>Not Found</v>
      </c>
      <c r="R107" s="13">
        <f>Posts__2[[#This Row],[Engagement]]/Posts__2[[#This Row],[Ad Spend]]</f>
        <v>7.6555023923444973E-2</v>
      </c>
    </row>
    <row r="108" spans="1:18" x14ac:dyDescent="0.3">
      <c r="A108" t="s">
        <v>176</v>
      </c>
      <c r="B108" t="s">
        <v>30</v>
      </c>
      <c r="C108" s="1">
        <v>45517</v>
      </c>
      <c r="D108" t="s">
        <v>68</v>
      </c>
      <c r="E108" t="s">
        <v>160</v>
      </c>
      <c r="F108">
        <v>4739</v>
      </c>
      <c r="G108">
        <v>527</v>
      </c>
      <c r="H108">
        <v>135</v>
      </c>
      <c r="I108">
        <v>61607</v>
      </c>
      <c r="J108">
        <v>61333</v>
      </c>
      <c r="K108">
        <v>36</v>
      </c>
      <c r="L108" t="s">
        <v>53</v>
      </c>
      <c r="M108" t="s">
        <v>11</v>
      </c>
      <c r="N108" s="2">
        <f>(Posts__2[[#This Row],[Likes]]+Posts__2[[#This Row],[Shares]]+Posts__2[[#This Row],[Comments]])/Posts__2[[#This Row],[Impressions]]</f>
        <v>8.7668609086629767E-2</v>
      </c>
      <c r="O108" s="7">
        <f>Posts__2[[#This Row],[Likes]]+Posts__2[[#This Row],[Shares]]+Posts__2[[#This Row],[Comments]]</f>
        <v>5401</v>
      </c>
      <c r="P108" s="7">
        <f>_xlfn.XLOOKUP(Posts__2[[#This Row],[Platform]],'Engagement Summary'!B:B,'Engagement Summary'!G:G,"NA",0)</f>
        <v>5904</v>
      </c>
      <c r="Q108" t="str">
        <f>IFERROR(IF(C108 &lt; _xlfn.XLOOKUP(M108, 'Campaign Metadata'!A:A, 'Campaign Metadata'!B:B), "Before", "During"), "Not Found")</f>
        <v>Before</v>
      </c>
      <c r="R108" s="13">
        <f>Posts__2[[#This Row],[Engagement]]/Posts__2[[#This Row],[Ad Spend]]</f>
        <v>0.91480352303523038</v>
      </c>
    </row>
    <row r="109" spans="1:18" x14ac:dyDescent="0.3">
      <c r="A109" t="s">
        <v>176</v>
      </c>
      <c r="B109" t="s">
        <v>30</v>
      </c>
      <c r="C109" s="1">
        <v>45517</v>
      </c>
      <c r="D109" t="s">
        <v>68</v>
      </c>
      <c r="E109" t="s">
        <v>160</v>
      </c>
      <c r="F109">
        <v>4739</v>
      </c>
      <c r="G109">
        <v>527</v>
      </c>
      <c r="H109">
        <v>135</v>
      </c>
      <c r="I109">
        <v>61607</v>
      </c>
      <c r="J109">
        <v>61333</v>
      </c>
      <c r="K109">
        <v>36</v>
      </c>
      <c r="L109" t="s">
        <v>49</v>
      </c>
      <c r="M109" t="s">
        <v>11</v>
      </c>
      <c r="N109" s="2">
        <f>(Posts__2[[#This Row],[Likes]]+Posts__2[[#This Row],[Shares]]+Posts__2[[#This Row],[Comments]])/Posts__2[[#This Row],[Impressions]]</f>
        <v>8.7668609086629767E-2</v>
      </c>
      <c r="O109" s="7">
        <f>Posts__2[[#This Row],[Likes]]+Posts__2[[#This Row],[Shares]]+Posts__2[[#This Row],[Comments]]</f>
        <v>5401</v>
      </c>
      <c r="P109" s="7">
        <f>_xlfn.XLOOKUP(Posts__2[[#This Row],[Platform]],'Engagement Summary'!B:B,'Engagement Summary'!G:G,"NA",0)</f>
        <v>5904</v>
      </c>
      <c r="Q109" t="str">
        <f>IFERROR(IF(C109 &lt; _xlfn.XLOOKUP(M109, 'Campaign Metadata'!A:A, 'Campaign Metadata'!B:B), "Before", "During"), "Not Found")</f>
        <v>Before</v>
      </c>
      <c r="R109" s="13">
        <f>Posts__2[[#This Row],[Engagement]]/Posts__2[[#This Row],[Ad Spend]]</f>
        <v>0.91480352303523038</v>
      </c>
    </row>
    <row r="110" spans="1:18" x14ac:dyDescent="0.3">
      <c r="A110" t="s">
        <v>177</v>
      </c>
      <c r="B110" t="s">
        <v>32</v>
      </c>
      <c r="C110" s="1">
        <v>45453</v>
      </c>
      <c r="D110" t="s">
        <v>58</v>
      </c>
      <c r="E110" t="s">
        <v>124</v>
      </c>
      <c r="F110">
        <v>1575</v>
      </c>
      <c r="G110">
        <v>771</v>
      </c>
      <c r="H110">
        <v>486</v>
      </c>
      <c r="I110">
        <v>25200</v>
      </c>
      <c r="J110">
        <v>24826</v>
      </c>
      <c r="K110">
        <v>17</v>
      </c>
      <c r="L110" t="s">
        <v>48</v>
      </c>
      <c r="M110" t="s">
        <v>19</v>
      </c>
      <c r="N110" s="2">
        <f>(Posts__2[[#This Row],[Likes]]+Posts__2[[#This Row],[Shares]]+Posts__2[[#This Row],[Comments]])/Posts__2[[#This Row],[Impressions]]</f>
        <v>0.11238095238095239</v>
      </c>
      <c r="O110" s="7">
        <f>Posts__2[[#This Row],[Likes]]+Posts__2[[#This Row],[Shares]]+Posts__2[[#This Row],[Comments]]</f>
        <v>2832</v>
      </c>
      <c r="P110" s="7">
        <f>_xlfn.XLOOKUP(Posts__2[[#This Row],[Platform]],'Engagement Summary'!B:B,'Engagement Summary'!G:G,"NA",0)</f>
        <v>26752</v>
      </c>
      <c r="Q110" t="str">
        <f>IFERROR(IF(C110 &lt; _xlfn.XLOOKUP(M110, 'Campaign Metadata'!A:A, 'Campaign Metadata'!B:B), "Before", "During"), "Not Found")</f>
        <v>Before</v>
      </c>
      <c r="R110" s="13">
        <f>Posts__2[[#This Row],[Engagement]]/Posts__2[[#This Row],[Ad Spend]]</f>
        <v>0.10586124401913875</v>
      </c>
    </row>
    <row r="111" spans="1:18" x14ac:dyDescent="0.3">
      <c r="A111" t="s">
        <v>178</v>
      </c>
      <c r="B111" t="s">
        <v>33</v>
      </c>
      <c r="C111" s="1">
        <v>45475</v>
      </c>
      <c r="D111" t="s">
        <v>63</v>
      </c>
      <c r="E111" t="s">
        <v>78</v>
      </c>
      <c r="F111">
        <v>4171</v>
      </c>
      <c r="G111">
        <v>548</v>
      </c>
      <c r="H111">
        <v>86</v>
      </c>
      <c r="I111">
        <v>66736</v>
      </c>
      <c r="J111">
        <v>66634</v>
      </c>
      <c r="K111">
        <v>173</v>
      </c>
      <c r="L111" t="s">
        <v>48</v>
      </c>
      <c r="M111" t="s">
        <v>15</v>
      </c>
      <c r="N111" s="2">
        <f>(Posts__2[[#This Row],[Likes]]+Posts__2[[#This Row],[Shares]]+Posts__2[[#This Row],[Comments]])/Posts__2[[#This Row],[Impressions]]</f>
        <v>7.2000119875329657E-2</v>
      </c>
      <c r="O111" s="7">
        <f>Posts__2[[#This Row],[Likes]]+Posts__2[[#This Row],[Shares]]+Posts__2[[#This Row],[Comments]]</f>
        <v>4805</v>
      </c>
      <c r="P111" s="7">
        <f>_xlfn.XLOOKUP(Posts__2[[#This Row],[Platform]],'Engagement Summary'!B:B,'Engagement Summary'!G:G,"NA",0)</f>
        <v>30671</v>
      </c>
      <c r="Q111" t="str">
        <f>IFERROR(IF(C111 &lt; _xlfn.XLOOKUP(M111, 'Campaign Metadata'!A:A, 'Campaign Metadata'!B:B), "Before", "During"), "Not Found")</f>
        <v>Before</v>
      </c>
      <c r="R111" s="13">
        <f>Posts__2[[#This Row],[Engagement]]/Posts__2[[#This Row],[Ad Spend]]</f>
        <v>0.15666264549574516</v>
      </c>
    </row>
    <row r="112" spans="1:18" x14ac:dyDescent="0.3">
      <c r="A112" t="s">
        <v>179</v>
      </c>
      <c r="B112" t="s">
        <v>33</v>
      </c>
      <c r="C112" s="1">
        <v>45698</v>
      </c>
      <c r="D112" t="s">
        <v>82</v>
      </c>
      <c r="E112" t="s">
        <v>162</v>
      </c>
      <c r="F112">
        <v>1766</v>
      </c>
      <c r="G112">
        <v>92</v>
      </c>
      <c r="H112">
        <v>424</v>
      </c>
      <c r="I112">
        <v>24724</v>
      </c>
      <c r="J112">
        <v>24333</v>
      </c>
      <c r="K112">
        <v>52</v>
      </c>
      <c r="L112" t="s">
        <v>60</v>
      </c>
      <c r="M112" t="s">
        <v>380</v>
      </c>
      <c r="N112" s="2">
        <f>(Posts__2[[#This Row],[Likes]]+Posts__2[[#This Row],[Shares]]+Posts__2[[#This Row],[Comments]])/Posts__2[[#This Row],[Impressions]]</f>
        <v>9.2298980747451867E-2</v>
      </c>
      <c r="O112" s="7">
        <f>Posts__2[[#This Row],[Likes]]+Posts__2[[#This Row],[Shares]]+Posts__2[[#This Row],[Comments]]</f>
        <v>2282</v>
      </c>
      <c r="P112" s="7">
        <f>_xlfn.XLOOKUP(Posts__2[[#This Row],[Platform]],'Engagement Summary'!B:B,'Engagement Summary'!G:G,"NA",0)</f>
        <v>30671</v>
      </c>
      <c r="Q112" t="str">
        <f>IFERROR(IF(C112 &lt; _xlfn.XLOOKUP(M112, 'Campaign Metadata'!A:A, 'Campaign Metadata'!B:B), "Before", "During"), "Not Found")</f>
        <v>Not Found</v>
      </c>
      <c r="R112" s="13">
        <f>Posts__2[[#This Row],[Engagement]]/Posts__2[[#This Row],[Ad Spend]]</f>
        <v>7.4402530077271684E-2</v>
      </c>
    </row>
    <row r="113" spans="1:18" x14ac:dyDescent="0.3">
      <c r="A113" t="s">
        <v>180</v>
      </c>
      <c r="B113" t="s">
        <v>33</v>
      </c>
      <c r="C113" s="1">
        <v>45583</v>
      </c>
      <c r="D113" t="s">
        <v>82</v>
      </c>
      <c r="E113" t="s">
        <v>162</v>
      </c>
      <c r="F113">
        <v>4450</v>
      </c>
      <c r="G113">
        <v>983</v>
      </c>
      <c r="H113">
        <v>143</v>
      </c>
      <c r="I113">
        <v>75650</v>
      </c>
      <c r="J113">
        <v>75008</v>
      </c>
      <c r="K113">
        <v>12</v>
      </c>
      <c r="L113" t="s">
        <v>48</v>
      </c>
      <c r="M113" t="s">
        <v>15</v>
      </c>
      <c r="N113" s="2">
        <f>(Posts__2[[#This Row],[Likes]]+Posts__2[[#This Row],[Shares]]+Posts__2[[#This Row],[Comments]])/Posts__2[[#This Row],[Impressions]]</f>
        <v>7.3707865168539333E-2</v>
      </c>
      <c r="O113" s="7">
        <f>Posts__2[[#This Row],[Likes]]+Posts__2[[#This Row],[Shares]]+Posts__2[[#This Row],[Comments]]</f>
        <v>5576</v>
      </c>
      <c r="P113" s="7">
        <f>_xlfn.XLOOKUP(Posts__2[[#This Row],[Platform]],'Engagement Summary'!B:B,'Engagement Summary'!G:G,"NA",0)</f>
        <v>30671</v>
      </c>
      <c r="Q113" t="str">
        <f>IFERROR(IF(C113 &lt; _xlfn.XLOOKUP(M113, 'Campaign Metadata'!A:A, 'Campaign Metadata'!B:B), "Before", "During"), "Not Found")</f>
        <v>Before</v>
      </c>
      <c r="R113" s="13">
        <f>Posts__2[[#This Row],[Engagement]]/Posts__2[[#This Row],[Ad Spend]]</f>
        <v>0.18180039776988036</v>
      </c>
    </row>
    <row r="114" spans="1:18" x14ac:dyDescent="0.3">
      <c r="A114" t="s">
        <v>181</v>
      </c>
      <c r="B114" t="s">
        <v>32</v>
      </c>
      <c r="C114" s="1">
        <v>45553</v>
      </c>
      <c r="D114" t="s">
        <v>46</v>
      </c>
      <c r="E114" t="s">
        <v>47</v>
      </c>
      <c r="F114">
        <v>1000</v>
      </c>
      <c r="G114">
        <v>978</v>
      </c>
      <c r="H114">
        <v>162</v>
      </c>
      <c r="I114">
        <v>6000</v>
      </c>
      <c r="J114">
        <v>5221</v>
      </c>
      <c r="K114">
        <v>223</v>
      </c>
      <c r="L114" t="s">
        <v>60</v>
      </c>
      <c r="M114" t="s">
        <v>11</v>
      </c>
      <c r="N114" s="2">
        <f>(Posts__2[[#This Row],[Likes]]+Posts__2[[#This Row],[Shares]]+Posts__2[[#This Row],[Comments]])/Posts__2[[#This Row],[Impressions]]</f>
        <v>0.35666666666666669</v>
      </c>
      <c r="O114" s="7">
        <f>Posts__2[[#This Row],[Likes]]+Posts__2[[#This Row],[Shares]]+Posts__2[[#This Row],[Comments]]</f>
        <v>2140</v>
      </c>
      <c r="P114" s="7">
        <f>_xlfn.XLOOKUP(Posts__2[[#This Row],[Platform]],'Engagement Summary'!B:B,'Engagement Summary'!G:G,"NA",0)</f>
        <v>26752</v>
      </c>
      <c r="Q114" t="str">
        <f>IFERROR(IF(C114 &lt; _xlfn.XLOOKUP(M114, 'Campaign Metadata'!A:A, 'Campaign Metadata'!B:B), "Before", "During"), "Not Found")</f>
        <v>Before</v>
      </c>
      <c r="R114" s="13">
        <f>Posts__2[[#This Row],[Engagement]]/Posts__2[[#This Row],[Ad Spend]]</f>
        <v>7.9994019138755978E-2</v>
      </c>
    </row>
    <row r="115" spans="1:18" x14ac:dyDescent="0.3">
      <c r="A115" t="s">
        <v>182</v>
      </c>
      <c r="B115" t="s">
        <v>31</v>
      </c>
      <c r="C115" s="1">
        <v>45454</v>
      </c>
      <c r="D115" t="s">
        <v>68</v>
      </c>
      <c r="E115" t="s">
        <v>73</v>
      </c>
      <c r="F115">
        <v>3689</v>
      </c>
      <c r="G115">
        <v>48</v>
      </c>
      <c r="H115">
        <v>306</v>
      </c>
      <c r="I115">
        <v>40579</v>
      </c>
      <c r="J115">
        <v>39588</v>
      </c>
      <c r="K115">
        <v>212</v>
      </c>
      <c r="L115" t="s">
        <v>60</v>
      </c>
      <c r="M115" t="s">
        <v>11</v>
      </c>
      <c r="N115" s="2">
        <f>(Posts__2[[#This Row],[Likes]]+Posts__2[[#This Row],[Shares]]+Posts__2[[#This Row],[Comments]])/Posts__2[[#This Row],[Impressions]]</f>
        <v>9.9632815002833983E-2</v>
      </c>
      <c r="O115" s="7">
        <f>Posts__2[[#This Row],[Likes]]+Posts__2[[#This Row],[Shares]]+Posts__2[[#This Row],[Comments]]</f>
        <v>4043</v>
      </c>
      <c r="P115" s="7">
        <f>_xlfn.XLOOKUP(Posts__2[[#This Row],[Platform]],'Engagement Summary'!B:B,'Engagement Summary'!G:G,"NA",0)</f>
        <v>9566</v>
      </c>
      <c r="Q115" t="str">
        <f>IFERROR(IF(C115 &lt; _xlfn.XLOOKUP(M115, 'Campaign Metadata'!A:A, 'Campaign Metadata'!B:B), "Before", "During"), "Not Found")</f>
        <v>Before</v>
      </c>
      <c r="R115" s="13">
        <f>Posts__2[[#This Row],[Engagement]]/Posts__2[[#This Row],[Ad Spend]]</f>
        <v>0.42264269287058331</v>
      </c>
    </row>
    <row r="116" spans="1:18" x14ac:dyDescent="0.3">
      <c r="A116" t="s">
        <v>183</v>
      </c>
      <c r="B116" t="s">
        <v>33</v>
      </c>
      <c r="C116" s="1">
        <v>45739</v>
      </c>
      <c r="D116" t="s">
        <v>58</v>
      </c>
      <c r="E116" t="s">
        <v>127</v>
      </c>
      <c r="F116">
        <v>3655</v>
      </c>
      <c r="G116">
        <v>568</v>
      </c>
      <c r="H116">
        <v>286</v>
      </c>
      <c r="I116">
        <v>32895</v>
      </c>
      <c r="J116">
        <v>32015</v>
      </c>
      <c r="K116">
        <v>199</v>
      </c>
      <c r="L116" t="s">
        <v>53</v>
      </c>
      <c r="M116" t="s">
        <v>15</v>
      </c>
      <c r="N116" s="2">
        <f>(Posts__2[[#This Row],[Likes]]+Posts__2[[#This Row],[Shares]]+Posts__2[[#This Row],[Comments]])/Posts__2[[#This Row],[Impressions]]</f>
        <v>0.13707250341997265</v>
      </c>
      <c r="O116" s="7">
        <f>Posts__2[[#This Row],[Likes]]+Posts__2[[#This Row],[Shares]]+Posts__2[[#This Row],[Comments]]</f>
        <v>4509</v>
      </c>
      <c r="P116" s="7">
        <f>_xlfn.XLOOKUP(Posts__2[[#This Row],[Platform]],'Engagement Summary'!B:B,'Engagement Summary'!G:G,"NA",0)</f>
        <v>30671</v>
      </c>
      <c r="Q116" t="str">
        <f>IFERROR(IF(C116 &lt; _xlfn.XLOOKUP(M116, 'Campaign Metadata'!A:A, 'Campaign Metadata'!B:B), "Before", "During"), "Not Found")</f>
        <v>During</v>
      </c>
      <c r="R116" s="13">
        <f>Posts__2[[#This Row],[Engagement]]/Posts__2[[#This Row],[Ad Spend]]</f>
        <v>0.14701183528414463</v>
      </c>
    </row>
    <row r="117" spans="1:18" x14ac:dyDescent="0.3">
      <c r="A117" t="s">
        <v>184</v>
      </c>
      <c r="B117" t="s">
        <v>30</v>
      </c>
      <c r="C117" s="1">
        <v>45457</v>
      </c>
      <c r="D117" t="s">
        <v>63</v>
      </c>
      <c r="E117" t="s">
        <v>91</v>
      </c>
      <c r="F117">
        <v>498</v>
      </c>
      <c r="G117">
        <v>38</v>
      </c>
      <c r="H117">
        <v>42</v>
      </c>
      <c r="I117">
        <v>4482</v>
      </c>
      <c r="J117">
        <v>3647</v>
      </c>
      <c r="K117">
        <v>32</v>
      </c>
      <c r="L117" t="s">
        <v>48</v>
      </c>
      <c r="M117" t="s">
        <v>7</v>
      </c>
      <c r="N117" s="2">
        <f>(Posts__2[[#This Row],[Likes]]+Posts__2[[#This Row],[Shares]]+Posts__2[[#This Row],[Comments]])/Posts__2[[#This Row],[Impressions]]</f>
        <v>0.12896028558679162</v>
      </c>
      <c r="O117" s="7">
        <f>Posts__2[[#This Row],[Likes]]+Posts__2[[#This Row],[Shares]]+Posts__2[[#This Row],[Comments]]</f>
        <v>578</v>
      </c>
      <c r="P117" s="7">
        <f>_xlfn.XLOOKUP(Posts__2[[#This Row],[Platform]],'Engagement Summary'!B:B,'Engagement Summary'!G:G,"NA",0)</f>
        <v>5904</v>
      </c>
      <c r="Q117" t="str">
        <f>IFERROR(IF(C117 &lt; _xlfn.XLOOKUP(M117, 'Campaign Metadata'!A:A, 'Campaign Metadata'!B:B), "Before", "During"), "Not Found")</f>
        <v>Before</v>
      </c>
      <c r="R117" s="13">
        <f>Posts__2[[#This Row],[Engagement]]/Posts__2[[#This Row],[Ad Spend]]</f>
        <v>9.7899728997289978E-2</v>
      </c>
    </row>
    <row r="118" spans="1:18" x14ac:dyDescent="0.3">
      <c r="A118" t="s">
        <v>185</v>
      </c>
      <c r="B118" t="s">
        <v>30</v>
      </c>
      <c r="C118" s="1">
        <v>45692</v>
      </c>
      <c r="D118" t="s">
        <v>68</v>
      </c>
      <c r="E118" t="s">
        <v>160</v>
      </c>
      <c r="F118">
        <v>4619</v>
      </c>
      <c r="G118">
        <v>821</v>
      </c>
      <c r="H118">
        <v>499</v>
      </c>
      <c r="I118">
        <v>69285</v>
      </c>
      <c r="J118">
        <v>69141</v>
      </c>
      <c r="K118">
        <v>298</v>
      </c>
      <c r="L118" t="s">
        <v>53</v>
      </c>
      <c r="M118" t="s">
        <v>19</v>
      </c>
      <c r="N118" s="2">
        <f>(Posts__2[[#This Row],[Likes]]+Posts__2[[#This Row],[Shares]]+Posts__2[[#This Row],[Comments]])/Posts__2[[#This Row],[Impressions]]</f>
        <v>8.5718409468138843E-2</v>
      </c>
      <c r="O118" s="7">
        <f>Posts__2[[#This Row],[Likes]]+Posts__2[[#This Row],[Shares]]+Posts__2[[#This Row],[Comments]]</f>
        <v>5939</v>
      </c>
      <c r="P118" s="7">
        <f>_xlfn.XLOOKUP(Posts__2[[#This Row],[Platform]],'Engagement Summary'!B:B,'Engagement Summary'!G:G,"NA",0)</f>
        <v>5904</v>
      </c>
      <c r="Q118" t="str">
        <f>IFERROR(IF(C118 &lt; _xlfn.XLOOKUP(M118, 'Campaign Metadata'!A:A, 'Campaign Metadata'!B:B), "Before", "During"), "Not Found")</f>
        <v>Before</v>
      </c>
      <c r="R118" s="13">
        <f>Posts__2[[#This Row],[Engagement]]/Posts__2[[#This Row],[Ad Spend]]</f>
        <v>1.0059281842818428</v>
      </c>
    </row>
    <row r="119" spans="1:18" x14ac:dyDescent="0.3">
      <c r="A119" t="s">
        <v>186</v>
      </c>
      <c r="B119" t="s">
        <v>33</v>
      </c>
      <c r="C119" s="1">
        <v>45464</v>
      </c>
      <c r="D119" t="s">
        <v>68</v>
      </c>
      <c r="E119" t="s">
        <v>69</v>
      </c>
      <c r="F119">
        <v>4832</v>
      </c>
      <c r="G119">
        <v>893</v>
      </c>
      <c r="H119">
        <v>10</v>
      </c>
      <c r="I119">
        <v>91808</v>
      </c>
      <c r="J119">
        <v>91296</v>
      </c>
      <c r="K119">
        <v>182</v>
      </c>
      <c r="L119" t="s">
        <v>53</v>
      </c>
      <c r="M119" t="s">
        <v>380</v>
      </c>
      <c r="N119" s="2">
        <f>(Posts__2[[#This Row],[Likes]]+Posts__2[[#This Row],[Shares]]+Posts__2[[#This Row],[Comments]])/Posts__2[[#This Row],[Impressions]]</f>
        <v>6.2467323109097243E-2</v>
      </c>
      <c r="O119" s="7">
        <f>Posts__2[[#This Row],[Likes]]+Posts__2[[#This Row],[Shares]]+Posts__2[[#This Row],[Comments]]</f>
        <v>5735</v>
      </c>
      <c r="P119" s="7">
        <f>_xlfn.XLOOKUP(Posts__2[[#This Row],[Platform]],'Engagement Summary'!B:B,'Engagement Summary'!G:G,"NA",0)</f>
        <v>30671</v>
      </c>
      <c r="Q119" t="str">
        <f>IFERROR(IF(C119 &lt; _xlfn.XLOOKUP(M119, 'Campaign Metadata'!A:A, 'Campaign Metadata'!B:B), "Before", "During"), "Not Found")</f>
        <v>Not Found</v>
      </c>
      <c r="R119" s="13">
        <f>Posts__2[[#This Row],[Engagement]]/Posts__2[[#This Row],[Ad Spend]]</f>
        <v>0.18698444784976037</v>
      </c>
    </row>
    <row r="120" spans="1:18" x14ac:dyDescent="0.3">
      <c r="A120" t="s">
        <v>187</v>
      </c>
      <c r="B120" t="s">
        <v>32</v>
      </c>
      <c r="C120" s="1">
        <v>45741</v>
      </c>
      <c r="D120" t="s">
        <v>82</v>
      </c>
      <c r="E120" t="s">
        <v>121</v>
      </c>
      <c r="F120">
        <v>4050</v>
      </c>
      <c r="G120">
        <v>871</v>
      </c>
      <c r="H120">
        <v>347</v>
      </c>
      <c r="I120">
        <v>52650</v>
      </c>
      <c r="J120">
        <v>51755</v>
      </c>
      <c r="K120">
        <v>209</v>
      </c>
      <c r="L120" t="s">
        <v>53</v>
      </c>
      <c r="M120" t="s">
        <v>11</v>
      </c>
      <c r="N120" s="2">
        <f>(Posts__2[[#This Row],[Likes]]+Posts__2[[#This Row],[Shares]]+Posts__2[[#This Row],[Comments]])/Posts__2[[#This Row],[Impressions]]</f>
        <v>0.10005698005698006</v>
      </c>
      <c r="O120" s="7">
        <f>Posts__2[[#This Row],[Likes]]+Posts__2[[#This Row],[Shares]]+Posts__2[[#This Row],[Comments]]</f>
        <v>5268</v>
      </c>
      <c r="P120" s="7">
        <f>_xlfn.XLOOKUP(Posts__2[[#This Row],[Platform]],'Engagement Summary'!B:B,'Engagement Summary'!G:G,"NA",0)</f>
        <v>26752</v>
      </c>
      <c r="Q120" t="str">
        <f>IFERROR(IF(C120 &lt; _xlfn.XLOOKUP(M120, 'Campaign Metadata'!A:A, 'Campaign Metadata'!B:B), "Before", "During"), "Not Found")</f>
        <v>During</v>
      </c>
      <c r="R120" s="13">
        <f>Posts__2[[#This Row],[Engagement]]/Posts__2[[#This Row],[Ad Spend]]</f>
        <v>0.19691985645933013</v>
      </c>
    </row>
    <row r="121" spans="1:18" x14ac:dyDescent="0.3">
      <c r="A121" t="s">
        <v>188</v>
      </c>
      <c r="B121" t="s">
        <v>32</v>
      </c>
      <c r="C121" s="1">
        <v>45512</v>
      </c>
      <c r="D121" t="s">
        <v>58</v>
      </c>
      <c r="E121" t="s">
        <v>124</v>
      </c>
      <c r="F121">
        <v>3649</v>
      </c>
      <c r="G121">
        <v>215</v>
      </c>
      <c r="H121">
        <v>413</v>
      </c>
      <c r="I121">
        <v>25543</v>
      </c>
      <c r="J121">
        <v>24963</v>
      </c>
      <c r="K121">
        <v>167</v>
      </c>
      <c r="L121" t="s">
        <v>48</v>
      </c>
      <c r="M121" t="s">
        <v>15</v>
      </c>
      <c r="N121" s="2">
        <f>(Posts__2[[#This Row],[Likes]]+Posts__2[[#This Row],[Shares]]+Posts__2[[#This Row],[Comments]])/Posts__2[[#This Row],[Impressions]]</f>
        <v>0.16744313510550835</v>
      </c>
      <c r="O121" s="7">
        <f>Posts__2[[#This Row],[Likes]]+Posts__2[[#This Row],[Shares]]+Posts__2[[#This Row],[Comments]]</f>
        <v>4277</v>
      </c>
      <c r="P121" s="7">
        <f>_xlfn.XLOOKUP(Posts__2[[#This Row],[Platform]],'Engagement Summary'!B:B,'Engagement Summary'!G:G,"NA",0)</f>
        <v>26752</v>
      </c>
      <c r="Q121" t="str">
        <f>IFERROR(IF(C121 &lt; _xlfn.XLOOKUP(M121, 'Campaign Metadata'!A:A, 'Campaign Metadata'!B:B), "Before", "During"), "Not Found")</f>
        <v>Before</v>
      </c>
      <c r="R121" s="13">
        <f>Posts__2[[#This Row],[Engagement]]/Posts__2[[#This Row],[Ad Spend]]</f>
        <v>0.15987589712918659</v>
      </c>
    </row>
    <row r="122" spans="1:18" x14ac:dyDescent="0.3">
      <c r="A122" t="s">
        <v>189</v>
      </c>
      <c r="B122" t="s">
        <v>30</v>
      </c>
      <c r="C122" s="1">
        <v>45502</v>
      </c>
      <c r="D122" t="s">
        <v>46</v>
      </c>
      <c r="E122" t="s">
        <v>87</v>
      </c>
      <c r="F122">
        <v>3523</v>
      </c>
      <c r="G122">
        <v>753</v>
      </c>
      <c r="H122">
        <v>482</v>
      </c>
      <c r="I122">
        <v>38753</v>
      </c>
      <c r="J122">
        <v>38579</v>
      </c>
      <c r="K122">
        <v>270</v>
      </c>
      <c r="L122" t="s">
        <v>60</v>
      </c>
      <c r="M122" t="s">
        <v>11</v>
      </c>
      <c r="N122" s="2">
        <f>(Posts__2[[#This Row],[Likes]]+Posts__2[[#This Row],[Shares]]+Posts__2[[#This Row],[Comments]])/Posts__2[[#This Row],[Impressions]]</f>
        <v>0.12277759141227776</v>
      </c>
      <c r="O122" s="7">
        <f>Posts__2[[#This Row],[Likes]]+Posts__2[[#This Row],[Shares]]+Posts__2[[#This Row],[Comments]]</f>
        <v>4758</v>
      </c>
      <c r="P122" s="7">
        <f>_xlfn.XLOOKUP(Posts__2[[#This Row],[Platform]],'Engagement Summary'!B:B,'Engagement Summary'!G:G,"NA",0)</f>
        <v>5904</v>
      </c>
      <c r="Q122" t="str">
        <f>IFERROR(IF(C122 &lt; _xlfn.XLOOKUP(M122, 'Campaign Metadata'!A:A, 'Campaign Metadata'!B:B), "Before", "During"), "Not Found")</f>
        <v>Before</v>
      </c>
      <c r="R122" s="13">
        <f>Posts__2[[#This Row],[Engagement]]/Posts__2[[#This Row],[Ad Spend]]</f>
        <v>0.80589430894308944</v>
      </c>
    </row>
    <row r="123" spans="1:18" x14ac:dyDescent="0.3">
      <c r="A123" t="s">
        <v>190</v>
      </c>
      <c r="B123" t="s">
        <v>33</v>
      </c>
      <c r="C123" s="1">
        <v>45619</v>
      </c>
      <c r="D123" t="s">
        <v>68</v>
      </c>
      <c r="E123" t="s">
        <v>69</v>
      </c>
      <c r="F123">
        <v>2719</v>
      </c>
      <c r="G123">
        <v>17</v>
      </c>
      <c r="H123">
        <v>285</v>
      </c>
      <c r="I123">
        <v>40785</v>
      </c>
      <c r="J123">
        <v>40281</v>
      </c>
      <c r="K123">
        <v>40</v>
      </c>
      <c r="L123" t="s">
        <v>53</v>
      </c>
      <c r="M123" t="s">
        <v>11</v>
      </c>
      <c r="N123" s="2">
        <f>(Posts__2[[#This Row],[Likes]]+Posts__2[[#This Row],[Shares]]+Posts__2[[#This Row],[Comments]])/Posts__2[[#This Row],[Impressions]]</f>
        <v>7.4071349760941527E-2</v>
      </c>
      <c r="O123" s="7">
        <f>Posts__2[[#This Row],[Likes]]+Posts__2[[#This Row],[Shares]]+Posts__2[[#This Row],[Comments]]</f>
        <v>3021</v>
      </c>
      <c r="P123" s="7">
        <f>_xlfn.XLOOKUP(Posts__2[[#This Row],[Platform]],'Engagement Summary'!B:B,'Engagement Summary'!G:G,"NA",0)</f>
        <v>30671</v>
      </c>
      <c r="Q123" t="str">
        <f>IFERROR(IF(C123 &lt; _xlfn.XLOOKUP(M123, 'Campaign Metadata'!A:A, 'Campaign Metadata'!B:B), "Before", "During"), "Not Found")</f>
        <v>During</v>
      </c>
      <c r="R123" s="13">
        <f>Posts__2[[#This Row],[Engagement]]/Posts__2[[#This Row],[Ad Spend]]</f>
        <v>9.8496951517720324E-2</v>
      </c>
    </row>
    <row r="124" spans="1:18" x14ac:dyDescent="0.3">
      <c r="A124" t="s">
        <v>191</v>
      </c>
      <c r="B124" t="s">
        <v>32</v>
      </c>
      <c r="C124" s="1">
        <v>45570</v>
      </c>
      <c r="D124" t="s">
        <v>58</v>
      </c>
      <c r="E124" t="s">
        <v>124</v>
      </c>
      <c r="F124">
        <v>1957</v>
      </c>
      <c r="G124">
        <v>877</v>
      </c>
      <c r="H124">
        <v>238</v>
      </c>
      <c r="I124">
        <v>17613</v>
      </c>
      <c r="J124">
        <v>16865</v>
      </c>
      <c r="K124">
        <v>297</v>
      </c>
      <c r="L124" t="s">
        <v>48</v>
      </c>
      <c r="M124" t="s">
        <v>15</v>
      </c>
      <c r="N124" s="2">
        <f>(Posts__2[[#This Row],[Likes]]+Posts__2[[#This Row],[Shares]]+Posts__2[[#This Row],[Comments]])/Posts__2[[#This Row],[Impressions]]</f>
        <v>0.17441662408448305</v>
      </c>
      <c r="O124" s="7">
        <f>Posts__2[[#This Row],[Likes]]+Posts__2[[#This Row],[Shares]]+Posts__2[[#This Row],[Comments]]</f>
        <v>3072</v>
      </c>
      <c r="P124" s="7">
        <f>_xlfn.XLOOKUP(Posts__2[[#This Row],[Platform]],'Engagement Summary'!B:B,'Engagement Summary'!G:G,"NA",0)</f>
        <v>26752</v>
      </c>
      <c r="Q124" t="str">
        <f>IFERROR(IF(C124 &lt; _xlfn.XLOOKUP(M124, 'Campaign Metadata'!A:A, 'Campaign Metadata'!B:B), "Before", "During"), "Not Found")</f>
        <v>Before</v>
      </c>
      <c r="R124" s="13">
        <f>Posts__2[[#This Row],[Engagement]]/Posts__2[[#This Row],[Ad Spend]]</f>
        <v>0.11483253588516747</v>
      </c>
    </row>
    <row r="125" spans="1:18" x14ac:dyDescent="0.3">
      <c r="A125" t="s">
        <v>192</v>
      </c>
      <c r="B125" t="s">
        <v>32</v>
      </c>
      <c r="C125" s="1">
        <v>45567</v>
      </c>
      <c r="D125" t="s">
        <v>63</v>
      </c>
      <c r="E125" t="s">
        <v>66</v>
      </c>
      <c r="F125">
        <v>4419</v>
      </c>
      <c r="G125">
        <v>236</v>
      </c>
      <c r="H125">
        <v>369</v>
      </c>
      <c r="I125">
        <v>44190</v>
      </c>
      <c r="J125">
        <v>43582</v>
      </c>
      <c r="K125">
        <v>10</v>
      </c>
      <c r="L125" t="s">
        <v>60</v>
      </c>
      <c r="M125" t="s">
        <v>7</v>
      </c>
      <c r="N125" s="2">
        <f>(Posts__2[[#This Row],[Likes]]+Posts__2[[#This Row],[Shares]]+Posts__2[[#This Row],[Comments]])/Posts__2[[#This Row],[Impressions]]</f>
        <v>0.11369088028965829</v>
      </c>
      <c r="O125" s="7">
        <f>Posts__2[[#This Row],[Likes]]+Posts__2[[#This Row],[Shares]]+Posts__2[[#This Row],[Comments]]</f>
        <v>5024</v>
      </c>
      <c r="P125" s="7">
        <f>_xlfn.XLOOKUP(Posts__2[[#This Row],[Platform]],'Engagement Summary'!B:B,'Engagement Summary'!G:G,"NA",0)</f>
        <v>26752</v>
      </c>
      <c r="Q125" t="str">
        <f>IFERROR(IF(C125 &lt; _xlfn.XLOOKUP(M125, 'Campaign Metadata'!A:A, 'Campaign Metadata'!B:B), "Before", "During"), "Not Found")</f>
        <v>During</v>
      </c>
      <c r="R125" s="13">
        <f>Posts__2[[#This Row],[Engagement]]/Posts__2[[#This Row],[Ad Spend]]</f>
        <v>0.18779904306220097</v>
      </c>
    </row>
    <row r="126" spans="1:18" x14ac:dyDescent="0.3">
      <c r="A126" t="s">
        <v>193</v>
      </c>
      <c r="B126" t="s">
        <v>32</v>
      </c>
      <c r="C126" s="1">
        <v>45610</v>
      </c>
      <c r="D126" t="s">
        <v>58</v>
      </c>
      <c r="E126" t="s">
        <v>124</v>
      </c>
      <c r="F126">
        <v>4000</v>
      </c>
      <c r="G126">
        <v>689</v>
      </c>
      <c r="H126">
        <v>488</v>
      </c>
      <c r="I126">
        <v>40000</v>
      </c>
      <c r="J126">
        <v>39569</v>
      </c>
      <c r="K126">
        <v>44</v>
      </c>
      <c r="L126" t="s">
        <v>48</v>
      </c>
      <c r="M126" t="s">
        <v>7</v>
      </c>
      <c r="N126" s="2">
        <f>(Posts__2[[#This Row],[Likes]]+Posts__2[[#This Row],[Shares]]+Posts__2[[#This Row],[Comments]])/Posts__2[[#This Row],[Impressions]]</f>
        <v>0.12942500000000001</v>
      </c>
      <c r="O126" s="7">
        <f>Posts__2[[#This Row],[Likes]]+Posts__2[[#This Row],[Shares]]+Posts__2[[#This Row],[Comments]]</f>
        <v>5177</v>
      </c>
      <c r="P126" s="7">
        <f>_xlfn.XLOOKUP(Posts__2[[#This Row],[Platform]],'Engagement Summary'!B:B,'Engagement Summary'!G:G,"NA",0)</f>
        <v>26752</v>
      </c>
      <c r="Q126" t="str">
        <f>IFERROR(IF(C126 &lt; _xlfn.XLOOKUP(M126, 'Campaign Metadata'!A:A, 'Campaign Metadata'!B:B), "Before", "During"), "Not Found")</f>
        <v>During</v>
      </c>
      <c r="R126" s="13">
        <f>Posts__2[[#This Row],[Engagement]]/Posts__2[[#This Row],[Ad Spend]]</f>
        <v>0.19351824162679426</v>
      </c>
    </row>
    <row r="127" spans="1:18" x14ac:dyDescent="0.3">
      <c r="A127" t="s">
        <v>194</v>
      </c>
      <c r="B127" t="s">
        <v>32</v>
      </c>
      <c r="C127" s="1">
        <v>45788</v>
      </c>
      <c r="D127" t="s">
        <v>68</v>
      </c>
      <c r="E127" t="s">
        <v>114</v>
      </c>
      <c r="F127">
        <v>2493</v>
      </c>
      <c r="G127">
        <v>97</v>
      </c>
      <c r="H127">
        <v>44</v>
      </c>
      <c r="I127">
        <v>42381</v>
      </c>
      <c r="J127">
        <v>41991</v>
      </c>
      <c r="K127">
        <v>242</v>
      </c>
      <c r="L127" t="s">
        <v>53</v>
      </c>
      <c r="M127" t="s">
        <v>19</v>
      </c>
      <c r="N127" s="2">
        <f>(Posts__2[[#This Row],[Likes]]+Posts__2[[#This Row],[Shares]]+Posts__2[[#This Row],[Comments]])/Posts__2[[#This Row],[Impressions]]</f>
        <v>6.2150491965739366E-2</v>
      </c>
      <c r="O127" s="7">
        <f>Posts__2[[#This Row],[Likes]]+Posts__2[[#This Row],[Shares]]+Posts__2[[#This Row],[Comments]]</f>
        <v>2634</v>
      </c>
      <c r="P127" s="7">
        <f>_xlfn.XLOOKUP(Posts__2[[#This Row],[Platform]],'Engagement Summary'!B:B,'Engagement Summary'!G:G,"NA",0)</f>
        <v>26752</v>
      </c>
      <c r="Q127" t="str">
        <f>IFERROR(IF(C127 &lt; _xlfn.XLOOKUP(M127, 'Campaign Metadata'!A:A, 'Campaign Metadata'!B:B), "Before", "During"), "Not Found")</f>
        <v>During</v>
      </c>
      <c r="R127" s="13">
        <f>Posts__2[[#This Row],[Engagement]]/Posts__2[[#This Row],[Ad Spend]]</f>
        <v>9.8459928229665067E-2</v>
      </c>
    </row>
    <row r="128" spans="1:18" x14ac:dyDescent="0.3">
      <c r="A128" t="s">
        <v>194</v>
      </c>
      <c r="B128" t="s">
        <v>32</v>
      </c>
      <c r="C128" s="1">
        <v>45788</v>
      </c>
      <c r="D128" t="s">
        <v>68</v>
      </c>
      <c r="E128" t="s">
        <v>114</v>
      </c>
      <c r="F128">
        <v>2493</v>
      </c>
      <c r="G128">
        <v>97</v>
      </c>
      <c r="H128">
        <v>44</v>
      </c>
      <c r="I128">
        <v>42381</v>
      </c>
      <c r="J128">
        <v>41991</v>
      </c>
      <c r="K128">
        <v>242</v>
      </c>
      <c r="L128" t="s">
        <v>49</v>
      </c>
      <c r="M128" t="s">
        <v>19</v>
      </c>
      <c r="N128" s="2">
        <f>(Posts__2[[#This Row],[Likes]]+Posts__2[[#This Row],[Shares]]+Posts__2[[#This Row],[Comments]])/Posts__2[[#This Row],[Impressions]]</f>
        <v>6.2150491965739366E-2</v>
      </c>
      <c r="O128" s="7">
        <f>Posts__2[[#This Row],[Likes]]+Posts__2[[#This Row],[Shares]]+Posts__2[[#This Row],[Comments]]</f>
        <v>2634</v>
      </c>
      <c r="P128" s="7">
        <f>_xlfn.XLOOKUP(Posts__2[[#This Row],[Platform]],'Engagement Summary'!B:B,'Engagement Summary'!G:G,"NA",0)</f>
        <v>26752</v>
      </c>
      <c r="Q128" t="str">
        <f>IFERROR(IF(C128 &lt; _xlfn.XLOOKUP(M128, 'Campaign Metadata'!A:A, 'Campaign Metadata'!B:B), "Before", "During"), "Not Found")</f>
        <v>During</v>
      </c>
      <c r="R128" s="13">
        <f>Posts__2[[#This Row],[Engagement]]/Posts__2[[#This Row],[Ad Spend]]</f>
        <v>9.8459928229665067E-2</v>
      </c>
    </row>
    <row r="129" spans="1:18" x14ac:dyDescent="0.3">
      <c r="A129" t="s">
        <v>195</v>
      </c>
      <c r="B129" t="s">
        <v>33</v>
      </c>
      <c r="C129" s="1">
        <v>45734</v>
      </c>
      <c r="D129" t="s">
        <v>46</v>
      </c>
      <c r="E129" t="s">
        <v>56</v>
      </c>
      <c r="F129">
        <v>3704</v>
      </c>
      <c r="G129">
        <v>186</v>
      </c>
      <c r="H129">
        <v>458</v>
      </c>
      <c r="I129">
        <v>25928</v>
      </c>
      <c r="J129">
        <v>25081</v>
      </c>
      <c r="K129">
        <v>131</v>
      </c>
      <c r="L129" t="s">
        <v>53</v>
      </c>
      <c r="M129" t="s">
        <v>380</v>
      </c>
      <c r="N129" s="2">
        <f>(Posts__2[[#This Row],[Likes]]+Posts__2[[#This Row],[Shares]]+Posts__2[[#This Row],[Comments]])/Posts__2[[#This Row],[Impressions]]</f>
        <v>0.16769515581610614</v>
      </c>
      <c r="O129" s="7">
        <f>Posts__2[[#This Row],[Likes]]+Posts__2[[#This Row],[Shares]]+Posts__2[[#This Row],[Comments]]</f>
        <v>4348</v>
      </c>
      <c r="P129" s="7">
        <f>_xlfn.XLOOKUP(Posts__2[[#This Row],[Platform]],'Engagement Summary'!B:B,'Engagement Summary'!G:G,"NA",0)</f>
        <v>30671</v>
      </c>
      <c r="Q129" t="str">
        <f>IFERROR(IF(C129 &lt; _xlfn.XLOOKUP(M129, 'Campaign Metadata'!A:A, 'Campaign Metadata'!B:B), "Before", "During"), "Not Found")</f>
        <v>Not Found</v>
      </c>
      <c r="R129" s="13">
        <f>Posts__2[[#This Row],[Engagement]]/Posts__2[[#This Row],[Ad Spend]]</f>
        <v>0.14176257702715919</v>
      </c>
    </row>
    <row r="130" spans="1:18" x14ac:dyDescent="0.3">
      <c r="A130" t="s">
        <v>196</v>
      </c>
      <c r="B130" t="s">
        <v>32</v>
      </c>
      <c r="C130" s="1">
        <v>45600</v>
      </c>
      <c r="D130" t="s">
        <v>68</v>
      </c>
      <c r="E130" t="s">
        <v>114</v>
      </c>
      <c r="F130">
        <v>1606</v>
      </c>
      <c r="G130">
        <v>451</v>
      </c>
      <c r="H130">
        <v>405</v>
      </c>
      <c r="I130">
        <v>20878</v>
      </c>
      <c r="J130">
        <v>20190</v>
      </c>
      <c r="K130">
        <v>219</v>
      </c>
      <c r="L130" t="s">
        <v>60</v>
      </c>
      <c r="M130" t="s">
        <v>19</v>
      </c>
      <c r="N130" s="2">
        <f>(Posts__2[[#This Row],[Likes]]+Posts__2[[#This Row],[Shares]]+Posts__2[[#This Row],[Comments]])/Posts__2[[#This Row],[Impressions]]</f>
        <v>0.11792317271769326</v>
      </c>
      <c r="O130" s="7">
        <f>Posts__2[[#This Row],[Likes]]+Posts__2[[#This Row],[Shares]]+Posts__2[[#This Row],[Comments]]</f>
        <v>2462</v>
      </c>
      <c r="P130" s="7">
        <f>_xlfn.XLOOKUP(Posts__2[[#This Row],[Platform]],'Engagement Summary'!B:B,'Engagement Summary'!G:G,"NA",0)</f>
        <v>26752</v>
      </c>
      <c r="Q130" t="str">
        <f>IFERROR(IF(C130 &lt; _xlfn.XLOOKUP(M130, 'Campaign Metadata'!A:A, 'Campaign Metadata'!B:B), "Before", "During"), "Not Found")</f>
        <v>Before</v>
      </c>
      <c r="R130" s="13">
        <f>Posts__2[[#This Row],[Engagement]]/Posts__2[[#This Row],[Ad Spend]]</f>
        <v>9.2030502392344504E-2</v>
      </c>
    </row>
    <row r="131" spans="1:18" x14ac:dyDescent="0.3">
      <c r="A131" t="s">
        <v>197</v>
      </c>
      <c r="B131" t="s">
        <v>31</v>
      </c>
      <c r="C131" s="1">
        <v>45600</v>
      </c>
      <c r="D131" t="s">
        <v>68</v>
      </c>
      <c r="E131" t="s">
        <v>73</v>
      </c>
      <c r="F131">
        <v>4551</v>
      </c>
      <c r="G131">
        <v>714</v>
      </c>
      <c r="H131">
        <v>207</v>
      </c>
      <c r="I131">
        <v>68265</v>
      </c>
      <c r="J131">
        <v>67754</v>
      </c>
      <c r="K131">
        <v>57</v>
      </c>
      <c r="L131" t="s">
        <v>48</v>
      </c>
      <c r="M131" t="s">
        <v>15</v>
      </c>
      <c r="N131" s="2">
        <f>(Posts__2[[#This Row],[Likes]]+Posts__2[[#This Row],[Shares]]+Posts__2[[#This Row],[Comments]])/Posts__2[[#This Row],[Impressions]]</f>
        <v>8.0158206987475278E-2</v>
      </c>
      <c r="O131" s="7">
        <f>Posts__2[[#This Row],[Likes]]+Posts__2[[#This Row],[Shares]]+Posts__2[[#This Row],[Comments]]</f>
        <v>5472</v>
      </c>
      <c r="P131" s="7">
        <f>_xlfn.XLOOKUP(Posts__2[[#This Row],[Platform]],'Engagement Summary'!B:B,'Engagement Summary'!G:G,"NA",0)</f>
        <v>9566</v>
      </c>
      <c r="Q131" t="str">
        <f>IFERROR(IF(C131 &lt; _xlfn.XLOOKUP(M131, 'Campaign Metadata'!A:A, 'Campaign Metadata'!B:B), "Before", "During"), "Not Found")</f>
        <v>Before</v>
      </c>
      <c r="R131" s="13">
        <f>Posts__2[[#This Row],[Engagement]]/Posts__2[[#This Row],[Ad Spend]]</f>
        <v>0.57202592515157846</v>
      </c>
    </row>
    <row r="132" spans="1:18" x14ac:dyDescent="0.3">
      <c r="A132" t="s">
        <v>198</v>
      </c>
      <c r="B132" t="s">
        <v>30</v>
      </c>
      <c r="C132" s="1">
        <v>45695</v>
      </c>
      <c r="D132" t="s">
        <v>46</v>
      </c>
      <c r="E132" t="s">
        <v>87</v>
      </c>
      <c r="F132">
        <v>1970</v>
      </c>
      <c r="G132">
        <v>675</v>
      </c>
      <c r="H132">
        <v>478</v>
      </c>
      <c r="I132">
        <v>9850</v>
      </c>
      <c r="J132">
        <v>8924</v>
      </c>
      <c r="K132">
        <v>117</v>
      </c>
      <c r="L132" t="s">
        <v>48</v>
      </c>
      <c r="M132" t="s">
        <v>380</v>
      </c>
      <c r="N132" s="2">
        <f>(Posts__2[[#This Row],[Likes]]+Posts__2[[#This Row],[Shares]]+Posts__2[[#This Row],[Comments]])/Posts__2[[#This Row],[Impressions]]</f>
        <v>0.31705583756345179</v>
      </c>
      <c r="O132" s="7">
        <f>Posts__2[[#This Row],[Likes]]+Posts__2[[#This Row],[Shares]]+Posts__2[[#This Row],[Comments]]</f>
        <v>3123</v>
      </c>
      <c r="P132" s="7">
        <f>_xlfn.XLOOKUP(Posts__2[[#This Row],[Platform]],'Engagement Summary'!B:B,'Engagement Summary'!G:G,"NA",0)</f>
        <v>5904</v>
      </c>
      <c r="Q132" t="str">
        <f>IFERROR(IF(C132 &lt; _xlfn.XLOOKUP(M132, 'Campaign Metadata'!A:A, 'Campaign Metadata'!B:B), "Before", "During"), "Not Found")</f>
        <v>Not Found</v>
      </c>
      <c r="R132" s="13">
        <f>Posts__2[[#This Row],[Engagement]]/Posts__2[[#This Row],[Ad Spend]]</f>
        <v>0.52896341463414631</v>
      </c>
    </row>
    <row r="133" spans="1:18" x14ac:dyDescent="0.3">
      <c r="A133" t="s">
        <v>199</v>
      </c>
      <c r="B133" t="s">
        <v>31</v>
      </c>
      <c r="C133" s="1">
        <v>45586</v>
      </c>
      <c r="D133" t="s">
        <v>58</v>
      </c>
      <c r="E133" t="s">
        <v>80</v>
      </c>
      <c r="F133">
        <v>780</v>
      </c>
      <c r="G133">
        <v>928</v>
      </c>
      <c r="H133">
        <v>301</v>
      </c>
      <c r="I133">
        <v>8580</v>
      </c>
      <c r="J133">
        <v>8081</v>
      </c>
      <c r="K133">
        <v>91</v>
      </c>
      <c r="L133" t="s">
        <v>60</v>
      </c>
      <c r="M133" t="s">
        <v>15</v>
      </c>
      <c r="N133" s="2">
        <f>(Posts__2[[#This Row],[Likes]]+Posts__2[[#This Row],[Shares]]+Posts__2[[#This Row],[Comments]])/Posts__2[[#This Row],[Impressions]]</f>
        <v>0.23414918414918415</v>
      </c>
      <c r="O133" s="7">
        <f>Posts__2[[#This Row],[Likes]]+Posts__2[[#This Row],[Shares]]+Posts__2[[#This Row],[Comments]]</f>
        <v>2009</v>
      </c>
      <c r="P133" s="7">
        <f>_xlfn.XLOOKUP(Posts__2[[#This Row],[Platform]],'Engagement Summary'!B:B,'Engagement Summary'!G:G,"NA",0)</f>
        <v>9566</v>
      </c>
      <c r="Q133" t="str">
        <f>IFERROR(IF(C133 &lt; _xlfn.XLOOKUP(M133, 'Campaign Metadata'!A:A, 'Campaign Metadata'!B:B), "Before", "During"), "Not Found")</f>
        <v>Before</v>
      </c>
      <c r="R133" s="13">
        <f>Posts__2[[#This Row],[Engagement]]/Posts__2[[#This Row],[Ad Spend]]</f>
        <v>0.21001463516621369</v>
      </c>
    </row>
    <row r="134" spans="1:18" x14ac:dyDescent="0.3">
      <c r="A134" t="s">
        <v>200</v>
      </c>
      <c r="B134" t="s">
        <v>30</v>
      </c>
      <c r="C134" s="1">
        <v>45502</v>
      </c>
      <c r="D134" t="s">
        <v>58</v>
      </c>
      <c r="E134" t="s">
        <v>59</v>
      </c>
      <c r="F134">
        <v>498</v>
      </c>
      <c r="G134">
        <v>701</v>
      </c>
      <c r="H134">
        <v>412</v>
      </c>
      <c r="I134">
        <v>4980</v>
      </c>
      <c r="J134">
        <v>4185</v>
      </c>
      <c r="K134">
        <v>185</v>
      </c>
      <c r="L134" t="s">
        <v>48</v>
      </c>
      <c r="M134" t="s">
        <v>380</v>
      </c>
      <c r="N134" s="2">
        <f>(Posts__2[[#This Row],[Likes]]+Posts__2[[#This Row],[Shares]]+Posts__2[[#This Row],[Comments]])/Posts__2[[#This Row],[Impressions]]</f>
        <v>0.32349397590361445</v>
      </c>
      <c r="O134" s="7">
        <f>Posts__2[[#This Row],[Likes]]+Posts__2[[#This Row],[Shares]]+Posts__2[[#This Row],[Comments]]</f>
        <v>1611</v>
      </c>
      <c r="P134" s="7">
        <f>_xlfn.XLOOKUP(Posts__2[[#This Row],[Platform]],'Engagement Summary'!B:B,'Engagement Summary'!G:G,"NA",0)</f>
        <v>5904</v>
      </c>
      <c r="Q134" t="str">
        <f>IFERROR(IF(C134 &lt; _xlfn.XLOOKUP(M134, 'Campaign Metadata'!A:A, 'Campaign Metadata'!B:B), "Before", "During"), "Not Found")</f>
        <v>Not Found</v>
      </c>
      <c r="R134" s="13">
        <f>Posts__2[[#This Row],[Engagement]]/Posts__2[[#This Row],[Ad Spend]]</f>
        <v>0.27286585365853661</v>
      </c>
    </row>
    <row r="135" spans="1:18" x14ac:dyDescent="0.3">
      <c r="A135" t="s">
        <v>201</v>
      </c>
      <c r="B135" t="s">
        <v>30</v>
      </c>
      <c r="C135" s="1">
        <v>45567</v>
      </c>
      <c r="D135" t="s">
        <v>51</v>
      </c>
      <c r="E135" t="s">
        <v>104</v>
      </c>
      <c r="F135">
        <v>3432</v>
      </c>
      <c r="G135">
        <v>869</v>
      </c>
      <c r="H135">
        <v>123</v>
      </c>
      <c r="I135">
        <v>54912</v>
      </c>
      <c r="J135">
        <v>53916</v>
      </c>
      <c r="K135">
        <v>264</v>
      </c>
      <c r="L135" t="s">
        <v>60</v>
      </c>
      <c r="M135" t="s">
        <v>11</v>
      </c>
      <c r="N135" s="2">
        <f>(Posts__2[[#This Row],[Likes]]+Posts__2[[#This Row],[Shares]]+Posts__2[[#This Row],[Comments]])/Posts__2[[#This Row],[Impressions]]</f>
        <v>8.0565268065268064E-2</v>
      </c>
      <c r="O135" s="7">
        <f>Posts__2[[#This Row],[Likes]]+Posts__2[[#This Row],[Shares]]+Posts__2[[#This Row],[Comments]]</f>
        <v>4424</v>
      </c>
      <c r="P135" s="7">
        <f>_xlfn.XLOOKUP(Posts__2[[#This Row],[Platform]],'Engagement Summary'!B:B,'Engagement Summary'!G:G,"NA",0)</f>
        <v>5904</v>
      </c>
      <c r="Q135" t="str">
        <f>IFERROR(IF(C135 &lt; _xlfn.XLOOKUP(M135, 'Campaign Metadata'!A:A, 'Campaign Metadata'!B:B), "Before", "During"), "Not Found")</f>
        <v>During</v>
      </c>
      <c r="R135" s="13">
        <f>Posts__2[[#This Row],[Engagement]]/Posts__2[[#This Row],[Ad Spend]]</f>
        <v>0.74932249322493227</v>
      </c>
    </row>
    <row r="136" spans="1:18" x14ac:dyDescent="0.3">
      <c r="A136" t="s">
        <v>202</v>
      </c>
      <c r="B136" t="s">
        <v>30</v>
      </c>
      <c r="C136" s="1">
        <v>45457</v>
      </c>
      <c r="D136" t="s">
        <v>58</v>
      </c>
      <c r="E136" t="s">
        <v>59</v>
      </c>
      <c r="F136">
        <v>4363</v>
      </c>
      <c r="G136">
        <v>649</v>
      </c>
      <c r="H136">
        <v>140</v>
      </c>
      <c r="I136">
        <v>21815</v>
      </c>
      <c r="J136">
        <v>21481</v>
      </c>
      <c r="K136">
        <v>157</v>
      </c>
      <c r="L136" t="s">
        <v>60</v>
      </c>
      <c r="M136" t="s">
        <v>7</v>
      </c>
      <c r="N136" s="2">
        <f>(Posts__2[[#This Row],[Likes]]+Posts__2[[#This Row],[Shares]]+Posts__2[[#This Row],[Comments]])/Posts__2[[#This Row],[Impressions]]</f>
        <v>0.23616777446710979</v>
      </c>
      <c r="O136" s="7">
        <f>Posts__2[[#This Row],[Likes]]+Posts__2[[#This Row],[Shares]]+Posts__2[[#This Row],[Comments]]</f>
        <v>5152</v>
      </c>
      <c r="P136" s="7">
        <f>_xlfn.XLOOKUP(Posts__2[[#This Row],[Platform]],'Engagement Summary'!B:B,'Engagement Summary'!G:G,"NA",0)</f>
        <v>5904</v>
      </c>
      <c r="Q136" t="str">
        <f>IFERROR(IF(C136 &lt; _xlfn.XLOOKUP(M136, 'Campaign Metadata'!A:A, 'Campaign Metadata'!B:B), "Before", "During"), "Not Found")</f>
        <v>Before</v>
      </c>
      <c r="R136" s="13">
        <f>Posts__2[[#This Row],[Engagement]]/Posts__2[[#This Row],[Ad Spend]]</f>
        <v>0.87262872628726285</v>
      </c>
    </row>
    <row r="137" spans="1:18" x14ac:dyDescent="0.3">
      <c r="A137" t="s">
        <v>203</v>
      </c>
      <c r="B137" t="s">
        <v>33</v>
      </c>
      <c r="C137" s="1">
        <v>45753</v>
      </c>
      <c r="D137" t="s">
        <v>63</v>
      </c>
      <c r="E137" t="s">
        <v>78</v>
      </c>
      <c r="F137">
        <v>736</v>
      </c>
      <c r="G137">
        <v>771</v>
      </c>
      <c r="H137">
        <v>225</v>
      </c>
      <c r="I137">
        <v>5152</v>
      </c>
      <c r="J137">
        <v>4706</v>
      </c>
      <c r="K137">
        <v>19</v>
      </c>
      <c r="L137" t="s">
        <v>60</v>
      </c>
      <c r="M137" t="s">
        <v>7</v>
      </c>
      <c r="N137" s="2">
        <f>(Posts__2[[#This Row],[Likes]]+Posts__2[[#This Row],[Shares]]+Posts__2[[#This Row],[Comments]])/Posts__2[[#This Row],[Impressions]]</f>
        <v>0.33618012422360249</v>
      </c>
      <c r="O137" s="7">
        <f>Posts__2[[#This Row],[Likes]]+Posts__2[[#This Row],[Shares]]+Posts__2[[#This Row],[Comments]]</f>
        <v>1732</v>
      </c>
      <c r="P137" s="7">
        <f>_xlfn.XLOOKUP(Posts__2[[#This Row],[Platform]],'Engagement Summary'!B:B,'Engagement Summary'!G:G,"NA",0)</f>
        <v>30671</v>
      </c>
      <c r="Q137" t="str">
        <f>IFERROR(IF(C137 &lt; _xlfn.XLOOKUP(M137, 'Campaign Metadata'!A:A, 'Campaign Metadata'!B:B), "Before", "During"), "Not Found")</f>
        <v>During</v>
      </c>
      <c r="R137" s="13">
        <f>Posts__2[[#This Row],[Engagement]]/Posts__2[[#This Row],[Ad Spend]]</f>
        <v>5.6470281373284213E-2</v>
      </c>
    </row>
    <row r="138" spans="1:18" x14ac:dyDescent="0.3">
      <c r="A138" t="s">
        <v>204</v>
      </c>
      <c r="B138" t="s">
        <v>32</v>
      </c>
      <c r="C138" s="1">
        <v>45543</v>
      </c>
      <c r="D138" t="s">
        <v>63</v>
      </c>
      <c r="E138" t="s">
        <v>66</v>
      </c>
      <c r="F138">
        <v>3811</v>
      </c>
      <c r="G138">
        <v>866</v>
      </c>
      <c r="H138">
        <v>216</v>
      </c>
      <c r="I138">
        <v>34299</v>
      </c>
      <c r="J138">
        <v>34088</v>
      </c>
      <c r="K138">
        <v>233</v>
      </c>
      <c r="L138" t="s">
        <v>53</v>
      </c>
      <c r="M138" t="s">
        <v>19</v>
      </c>
      <c r="N138" s="2">
        <f>(Posts__2[[#This Row],[Likes]]+Posts__2[[#This Row],[Shares]]+Posts__2[[#This Row],[Comments]])/Posts__2[[#This Row],[Impressions]]</f>
        <v>0.14265722032712325</v>
      </c>
      <c r="O138" s="7">
        <f>Posts__2[[#This Row],[Likes]]+Posts__2[[#This Row],[Shares]]+Posts__2[[#This Row],[Comments]]</f>
        <v>4893</v>
      </c>
      <c r="P138" s="7">
        <f>_xlfn.XLOOKUP(Posts__2[[#This Row],[Platform]],'Engagement Summary'!B:B,'Engagement Summary'!G:G,"NA",0)</f>
        <v>26752</v>
      </c>
      <c r="Q138" t="str">
        <f>IFERROR(IF(C138 &lt; _xlfn.XLOOKUP(M138, 'Campaign Metadata'!A:A, 'Campaign Metadata'!B:B), "Before", "During"), "Not Found")</f>
        <v>Before</v>
      </c>
      <c r="R138" s="13">
        <f>Posts__2[[#This Row],[Engagement]]/Posts__2[[#This Row],[Ad Spend]]</f>
        <v>0.1829022129186603</v>
      </c>
    </row>
    <row r="139" spans="1:18" x14ac:dyDescent="0.3">
      <c r="A139" t="s">
        <v>205</v>
      </c>
      <c r="B139" t="s">
        <v>30</v>
      </c>
      <c r="C139" s="1">
        <v>45744</v>
      </c>
      <c r="D139" t="s">
        <v>63</v>
      </c>
      <c r="E139" t="s">
        <v>91</v>
      </c>
      <c r="F139">
        <v>4158</v>
      </c>
      <c r="G139">
        <v>167</v>
      </c>
      <c r="H139">
        <v>241</v>
      </c>
      <c r="I139">
        <v>45738</v>
      </c>
      <c r="J139">
        <v>45183</v>
      </c>
      <c r="K139">
        <v>142</v>
      </c>
      <c r="L139" t="s">
        <v>48</v>
      </c>
      <c r="M139" t="s">
        <v>380</v>
      </c>
      <c r="N139" s="2">
        <f>(Posts__2[[#This Row],[Likes]]+Posts__2[[#This Row],[Shares]]+Posts__2[[#This Row],[Comments]])/Posts__2[[#This Row],[Impressions]]</f>
        <v>9.9829463465827106E-2</v>
      </c>
      <c r="O139" s="7">
        <f>Posts__2[[#This Row],[Likes]]+Posts__2[[#This Row],[Shares]]+Posts__2[[#This Row],[Comments]]</f>
        <v>4566</v>
      </c>
      <c r="P139" s="7">
        <f>_xlfn.XLOOKUP(Posts__2[[#This Row],[Platform]],'Engagement Summary'!B:B,'Engagement Summary'!G:G,"NA",0)</f>
        <v>5904</v>
      </c>
      <c r="Q139" t="str">
        <f>IFERROR(IF(C139 &lt; _xlfn.XLOOKUP(M139, 'Campaign Metadata'!A:A, 'Campaign Metadata'!B:B), "Before", "During"), "Not Found")</f>
        <v>Not Found</v>
      </c>
      <c r="R139" s="13">
        <f>Posts__2[[#This Row],[Engagement]]/Posts__2[[#This Row],[Ad Spend]]</f>
        <v>0.77337398373983735</v>
      </c>
    </row>
    <row r="140" spans="1:18" x14ac:dyDescent="0.3">
      <c r="A140" t="s">
        <v>206</v>
      </c>
      <c r="B140" t="s">
        <v>31</v>
      </c>
      <c r="C140" s="1">
        <v>45684</v>
      </c>
      <c r="D140" t="s">
        <v>46</v>
      </c>
      <c r="E140" t="s">
        <v>76</v>
      </c>
      <c r="F140">
        <v>3452</v>
      </c>
      <c r="G140">
        <v>652</v>
      </c>
      <c r="H140">
        <v>442</v>
      </c>
      <c r="I140">
        <v>65588</v>
      </c>
      <c r="J140">
        <v>65049</v>
      </c>
      <c r="K140">
        <v>158</v>
      </c>
      <c r="L140" t="s">
        <v>48</v>
      </c>
      <c r="M140" t="s">
        <v>15</v>
      </c>
      <c r="N140" s="2">
        <f>(Posts__2[[#This Row],[Likes]]+Posts__2[[#This Row],[Shares]]+Posts__2[[#This Row],[Comments]])/Posts__2[[#This Row],[Impressions]]</f>
        <v>6.9311459413307311E-2</v>
      </c>
      <c r="O140" s="7">
        <f>Posts__2[[#This Row],[Likes]]+Posts__2[[#This Row],[Shares]]+Posts__2[[#This Row],[Comments]]</f>
        <v>4546</v>
      </c>
      <c r="P140" s="7">
        <f>_xlfn.XLOOKUP(Posts__2[[#This Row],[Platform]],'Engagement Summary'!B:B,'Engagement Summary'!G:G,"NA",0)</f>
        <v>9566</v>
      </c>
      <c r="Q140" t="str">
        <f>IFERROR(IF(C140 &lt; _xlfn.XLOOKUP(M140, 'Campaign Metadata'!A:A, 'Campaign Metadata'!B:B), "Before", "During"), "Not Found")</f>
        <v>During</v>
      </c>
      <c r="R140" s="13">
        <f>Posts__2[[#This Row],[Engagement]]/Posts__2[[#This Row],[Ad Spend]]</f>
        <v>0.47522475433828143</v>
      </c>
    </row>
    <row r="141" spans="1:18" x14ac:dyDescent="0.3">
      <c r="A141" t="s">
        <v>207</v>
      </c>
      <c r="B141" t="s">
        <v>32</v>
      </c>
      <c r="C141" s="1">
        <v>45667</v>
      </c>
      <c r="D141" t="s">
        <v>68</v>
      </c>
      <c r="E141" t="s">
        <v>114</v>
      </c>
      <c r="F141">
        <v>3092</v>
      </c>
      <c r="G141">
        <v>106</v>
      </c>
      <c r="H141">
        <v>291</v>
      </c>
      <c r="I141">
        <v>27828</v>
      </c>
      <c r="J141">
        <v>27217</v>
      </c>
      <c r="K141">
        <v>102</v>
      </c>
      <c r="L141" t="s">
        <v>48</v>
      </c>
      <c r="M141" t="s">
        <v>380</v>
      </c>
      <c r="N141" s="2">
        <f>(Posts__2[[#This Row],[Likes]]+Posts__2[[#This Row],[Shares]]+Posts__2[[#This Row],[Comments]])/Posts__2[[#This Row],[Impressions]]</f>
        <v>0.12537731780940059</v>
      </c>
      <c r="O141" s="7">
        <f>Posts__2[[#This Row],[Likes]]+Posts__2[[#This Row],[Shares]]+Posts__2[[#This Row],[Comments]]</f>
        <v>3489</v>
      </c>
      <c r="P141" s="7">
        <f>_xlfn.XLOOKUP(Posts__2[[#This Row],[Platform]],'Engagement Summary'!B:B,'Engagement Summary'!G:G,"NA",0)</f>
        <v>26752</v>
      </c>
      <c r="Q141" t="str">
        <f>IFERROR(IF(C141 &lt; _xlfn.XLOOKUP(M141, 'Campaign Metadata'!A:A, 'Campaign Metadata'!B:B), "Before", "During"), "Not Found")</f>
        <v>Not Found</v>
      </c>
      <c r="R141" s="13">
        <f>Posts__2[[#This Row],[Engagement]]/Posts__2[[#This Row],[Ad Spend]]</f>
        <v>0.13042015550239233</v>
      </c>
    </row>
    <row r="142" spans="1:18" x14ac:dyDescent="0.3">
      <c r="A142" t="s">
        <v>208</v>
      </c>
      <c r="B142" t="s">
        <v>32</v>
      </c>
      <c r="C142" s="1">
        <v>45494</v>
      </c>
      <c r="D142" t="s">
        <v>51</v>
      </c>
      <c r="E142" t="s">
        <v>52</v>
      </c>
      <c r="F142">
        <v>2147</v>
      </c>
      <c r="G142">
        <v>430</v>
      </c>
      <c r="H142">
        <v>393</v>
      </c>
      <c r="I142">
        <v>17176</v>
      </c>
      <c r="J142">
        <v>16483</v>
      </c>
      <c r="K142">
        <v>170</v>
      </c>
      <c r="L142" t="s">
        <v>53</v>
      </c>
      <c r="M142" t="s">
        <v>380</v>
      </c>
      <c r="N142" s="2">
        <f>(Posts__2[[#This Row],[Likes]]+Posts__2[[#This Row],[Shares]]+Posts__2[[#This Row],[Comments]])/Posts__2[[#This Row],[Impressions]]</f>
        <v>0.17291569632044715</v>
      </c>
      <c r="O142" s="7">
        <f>Posts__2[[#This Row],[Likes]]+Posts__2[[#This Row],[Shares]]+Posts__2[[#This Row],[Comments]]</f>
        <v>2970</v>
      </c>
      <c r="P142" s="7">
        <f>_xlfn.XLOOKUP(Posts__2[[#This Row],[Platform]],'Engagement Summary'!B:B,'Engagement Summary'!G:G,"NA",0)</f>
        <v>26752</v>
      </c>
      <c r="Q142" t="str">
        <f>IFERROR(IF(C142 &lt; _xlfn.XLOOKUP(M142, 'Campaign Metadata'!A:A, 'Campaign Metadata'!B:B), "Before", "During"), "Not Found")</f>
        <v>Not Found</v>
      </c>
      <c r="R142" s="13">
        <f>Posts__2[[#This Row],[Engagement]]/Posts__2[[#This Row],[Ad Spend]]</f>
        <v>0.11101973684210527</v>
      </c>
    </row>
    <row r="143" spans="1:18" x14ac:dyDescent="0.3">
      <c r="A143" t="s">
        <v>209</v>
      </c>
      <c r="B143" t="s">
        <v>33</v>
      </c>
      <c r="C143" s="1">
        <v>45564</v>
      </c>
      <c r="D143" t="s">
        <v>46</v>
      </c>
      <c r="E143" t="s">
        <v>56</v>
      </c>
      <c r="F143">
        <v>2936</v>
      </c>
      <c r="G143">
        <v>439</v>
      </c>
      <c r="H143">
        <v>44</v>
      </c>
      <c r="I143">
        <v>38168</v>
      </c>
      <c r="J143">
        <v>37571</v>
      </c>
      <c r="K143">
        <v>22</v>
      </c>
      <c r="L143" t="s">
        <v>60</v>
      </c>
      <c r="M143" t="s">
        <v>19</v>
      </c>
      <c r="N143" s="2">
        <f>(Posts__2[[#This Row],[Likes]]+Posts__2[[#This Row],[Shares]]+Posts__2[[#This Row],[Comments]])/Posts__2[[#This Row],[Impressions]]</f>
        <v>8.9577656675749323E-2</v>
      </c>
      <c r="O143" s="7">
        <f>Posts__2[[#This Row],[Likes]]+Posts__2[[#This Row],[Shares]]+Posts__2[[#This Row],[Comments]]</f>
        <v>3419</v>
      </c>
      <c r="P143" s="7">
        <f>_xlfn.XLOOKUP(Posts__2[[#This Row],[Platform]],'Engagement Summary'!B:B,'Engagement Summary'!G:G,"NA",0)</f>
        <v>30671</v>
      </c>
      <c r="Q143" t="str">
        <f>IFERROR(IF(C143 &lt; _xlfn.XLOOKUP(M143, 'Campaign Metadata'!A:A, 'Campaign Metadata'!B:B), "Before", "During"), "Not Found")</f>
        <v>Before</v>
      </c>
      <c r="R143" s="13">
        <f>Posts__2[[#This Row],[Engagement]]/Posts__2[[#This Row],[Ad Spend]]</f>
        <v>0.11147337876169672</v>
      </c>
    </row>
    <row r="144" spans="1:18" x14ac:dyDescent="0.3">
      <c r="A144" t="s">
        <v>210</v>
      </c>
      <c r="B144" t="s">
        <v>30</v>
      </c>
      <c r="C144" s="1">
        <v>45586</v>
      </c>
      <c r="D144" t="s">
        <v>46</v>
      </c>
      <c r="E144" t="s">
        <v>87</v>
      </c>
      <c r="F144">
        <v>4840</v>
      </c>
      <c r="G144">
        <v>658</v>
      </c>
      <c r="H144">
        <v>211</v>
      </c>
      <c r="I144">
        <v>43560</v>
      </c>
      <c r="J144">
        <v>43225</v>
      </c>
      <c r="K144">
        <v>57</v>
      </c>
      <c r="L144" t="s">
        <v>48</v>
      </c>
      <c r="M144" t="s">
        <v>15</v>
      </c>
      <c r="N144" s="2">
        <f>(Posts__2[[#This Row],[Likes]]+Posts__2[[#This Row],[Shares]]+Posts__2[[#This Row],[Comments]])/Posts__2[[#This Row],[Impressions]]</f>
        <v>0.13106060606060607</v>
      </c>
      <c r="O144" s="7">
        <f>Posts__2[[#This Row],[Likes]]+Posts__2[[#This Row],[Shares]]+Posts__2[[#This Row],[Comments]]</f>
        <v>5709</v>
      </c>
      <c r="P144" s="7">
        <f>_xlfn.XLOOKUP(Posts__2[[#This Row],[Platform]],'Engagement Summary'!B:B,'Engagement Summary'!G:G,"NA",0)</f>
        <v>5904</v>
      </c>
      <c r="Q144" t="str">
        <f>IFERROR(IF(C144 &lt; _xlfn.XLOOKUP(M144, 'Campaign Metadata'!A:A, 'Campaign Metadata'!B:B), "Before", "During"), "Not Found")</f>
        <v>Before</v>
      </c>
      <c r="R144" s="13">
        <f>Posts__2[[#This Row],[Engagement]]/Posts__2[[#This Row],[Ad Spend]]</f>
        <v>0.96697154471544711</v>
      </c>
    </row>
    <row r="145" spans="1:18" x14ac:dyDescent="0.3">
      <c r="A145" t="s">
        <v>211</v>
      </c>
      <c r="B145" t="s">
        <v>30</v>
      </c>
      <c r="C145" s="1">
        <v>45720</v>
      </c>
      <c r="D145" t="s">
        <v>58</v>
      </c>
      <c r="E145" t="s">
        <v>59</v>
      </c>
      <c r="F145">
        <v>1947</v>
      </c>
      <c r="G145">
        <v>842</v>
      </c>
      <c r="H145">
        <v>101</v>
      </c>
      <c r="I145">
        <v>21417</v>
      </c>
      <c r="J145">
        <v>20967</v>
      </c>
      <c r="K145">
        <v>186</v>
      </c>
      <c r="L145" t="s">
        <v>48</v>
      </c>
      <c r="M145" t="s">
        <v>11</v>
      </c>
      <c r="N145" s="2">
        <f>(Posts__2[[#This Row],[Likes]]+Posts__2[[#This Row],[Shares]]+Posts__2[[#This Row],[Comments]])/Posts__2[[#This Row],[Impressions]]</f>
        <v>0.13493953401503478</v>
      </c>
      <c r="O145" s="7">
        <f>Posts__2[[#This Row],[Likes]]+Posts__2[[#This Row],[Shares]]+Posts__2[[#This Row],[Comments]]</f>
        <v>2890</v>
      </c>
      <c r="P145" s="7">
        <f>_xlfn.XLOOKUP(Posts__2[[#This Row],[Platform]],'Engagement Summary'!B:B,'Engagement Summary'!G:G,"NA",0)</f>
        <v>5904</v>
      </c>
      <c r="Q145" t="str">
        <f>IFERROR(IF(C145 &lt; _xlfn.XLOOKUP(M145, 'Campaign Metadata'!A:A, 'Campaign Metadata'!B:B), "Before", "During"), "Not Found")</f>
        <v>During</v>
      </c>
      <c r="R145" s="13">
        <f>Posts__2[[#This Row],[Engagement]]/Posts__2[[#This Row],[Ad Spend]]</f>
        <v>0.48949864498644985</v>
      </c>
    </row>
    <row r="146" spans="1:18" x14ac:dyDescent="0.3">
      <c r="A146" t="s">
        <v>212</v>
      </c>
      <c r="B146" t="s">
        <v>31</v>
      </c>
      <c r="C146" s="1">
        <v>45694</v>
      </c>
      <c r="D146" t="s">
        <v>68</v>
      </c>
      <c r="E146" t="s">
        <v>73</v>
      </c>
      <c r="F146">
        <v>2072</v>
      </c>
      <c r="G146">
        <v>532</v>
      </c>
      <c r="H146">
        <v>71</v>
      </c>
      <c r="I146">
        <v>37296</v>
      </c>
      <c r="J146">
        <v>36467</v>
      </c>
      <c r="K146">
        <v>25</v>
      </c>
      <c r="L146" t="s">
        <v>53</v>
      </c>
      <c r="M146" t="s">
        <v>19</v>
      </c>
      <c r="N146" s="2">
        <f>(Posts__2[[#This Row],[Likes]]+Posts__2[[#This Row],[Shares]]+Posts__2[[#This Row],[Comments]])/Posts__2[[#This Row],[Impressions]]</f>
        <v>7.172350922350923E-2</v>
      </c>
      <c r="O146" s="7">
        <f>Posts__2[[#This Row],[Likes]]+Posts__2[[#This Row],[Shares]]+Posts__2[[#This Row],[Comments]]</f>
        <v>2675</v>
      </c>
      <c r="P146" s="7">
        <f>_xlfn.XLOOKUP(Posts__2[[#This Row],[Platform]],'Engagement Summary'!B:B,'Engagement Summary'!G:G,"NA",0)</f>
        <v>9566</v>
      </c>
      <c r="Q146" t="str">
        <f>IFERROR(IF(C146 &lt; _xlfn.XLOOKUP(M146, 'Campaign Metadata'!A:A, 'Campaign Metadata'!B:B), "Before", "During"), "Not Found")</f>
        <v>Before</v>
      </c>
      <c r="R146" s="13">
        <f>Posts__2[[#This Row],[Engagement]]/Posts__2[[#This Row],[Ad Spend]]</f>
        <v>0.2796362115826887</v>
      </c>
    </row>
    <row r="147" spans="1:18" x14ac:dyDescent="0.3">
      <c r="A147" t="s">
        <v>213</v>
      </c>
      <c r="B147" t="s">
        <v>32</v>
      </c>
      <c r="C147" s="1">
        <v>45771</v>
      </c>
      <c r="D147" t="s">
        <v>46</v>
      </c>
      <c r="E147" t="s">
        <v>47</v>
      </c>
      <c r="F147">
        <v>3731</v>
      </c>
      <c r="G147">
        <v>115</v>
      </c>
      <c r="H147">
        <v>135</v>
      </c>
      <c r="I147">
        <v>55965</v>
      </c>
      <c r="J147">
        <v>55436</v>
      </c>
      <c r="K147">
        <v>103</v>
      </c>
      <c r="L147" t="s">
        <v>53</v>
      </c>
      <c r="M147" t="s">
        <v>7</v>
      </c>
      <c r="N147" s="2">
        <f>(Posts__2[[#This Row],[Likes]]+Posts__2[[#This Row],[Shares]]+Posts__2[[#This Row],[Comments]])/Posts__2[[#This Row],[Impressions]]</f>
        <v>7.1133744304476013E-2</v>
      </c>
      <c r="O147" s="7">
        <f>Posts__2[[#This Row],[Likes]]+Posts__2[[#This Row],[Shares]]+Posts__2[[#This Row],[Comments]]</f>
        <v>3981</v>
      </c>
      <c r="P147" s="7">
        <f>_xlfn.XLOOKUP(Posts__2[[#This Row],[Platform]],'Engagement Summary'!B:B,'Engagement Summary'!G:G,"NA",0)</f>
        <v>26752</v>
      </c>
      <c r="Q147" t="str">
        <f>IFERROR(IF(C147 &lt; _xlfn.XLOOKUP(M147, 'Campaign Metadata'!A:A, 'Campaign Metadata'!B:B), "Before", "During"), "Not Found")</f>
        <v>During</v>
      </c>
      <c r="R147" s="13">
        <f>Posts__2[[#This Row],[Engagement]]/Posts__2[[#This Row],[Ad Spend]]</f>
        <v>0.14881130382775121</v>
      </c>
    </row>
    <row r="148" spans="1:18" x14ac:dyDescent="0.3">
      <c r="A148" t="s">
        <v>214</v>
      </c>
      <c r="B148" t="s">
        <v>31</v>
      </c>
      <c r="C148" s="1">
        <v>45624</v>
      </c>
      <c r="D148" t="s">
        <v>51</v>
      </c>
      <c r="E148" t="s">
        <v>71</v>
      </c>
      <c r="F148">
        <v>4213</v>
      </c>
      <c r="G148">
        <v>253</v>
      </c>
      <c r="H148">
        <v>434</v>
      </c>
      <c r="I148">
        <v>75834</v>
      </c>
      <c r="J148">
        <v>75437</v>
      </c>
      <c r="K148">
        <v>272</v>
      </c>
      <c r="L148" t="s">
        <v>48</v>
      </c>
      <c r="M148" t="s">
        <v>19</v>
      </c>
      <c r="N148" s="2">
        <f>(Posts__2[[#This Row],[Likes]]+Posts__2[[#This Row],[Shares]]+Posts__2[[#This Row],[Comments]])/Posts__2[[#This Row],[Impressions]]</f>
        <v>6.461481657304112E-2</v>
      </c>
      <c r="O148" s="7">
        <f>Posts__2[[#This Row],[Likes]]+Posts__2[[#This Row],[Shares]]+Posts__2[[#This Row],[Comments]]</f>
        <v>4900</v>
      </c>
      <c r="P148" s="7">
        <f>_xlfn.XLOOKUP(Posts__2[[#This Row],[Platform]],'Engagement Summary'!B:B,'Engagement Summary'!G:G,"NA",0)</f>
        <v>9566</v>
      </c>
      <c r="Q148" t="str">
        <f>IFERROR(IF(C148 &lt; _xlfn.XLOOKUP(M148, 'Campaign Metadata'!A:A, 'Campaign Metadata'!B:B), "Before", "During"), "Not Found")</f>
        <v>Before</v>
      </c>
      <c r="R148" s="13">
        <f>Posts__2[[#This Row],[Engagement]]/Posts__2[[#This Row],[Ad Spend]]</f>
        <v>0.51223081747856991</v>
      </c>
    </row>
    <row r="149" spans="1:18" x14ac:dyDescent="0.3">
      <c r="A149" t="s">
        <v>215</v>
      </c>
      <c r="B149" t="s">
        <v>30</v>
      </c>
      <c r="C149" s="1">
        <v>45484</v>
      </c>
      <c r="D149" t="s">
        <v>51</v>
      </c>
      <c r="E149" t="s">
        <v>104</v>
      </c>
      <c r="F149">
        <v>3134</v>
      </c>
      <c r="G149">
        <v>888</v>
      </c>
      <c r="H149">
        <v>444</v>
      </c>
      <c r="I149">
        <v>21938</v>
      </c>
      <c r="J149">
        <v>21337</v>
      </c>
      <c r="K149">
        <v>130</v>
      </c>
      <c r="L149" t="s">
        <v>60</v>
      </c>
      <c r="M149" t="s">
        <v>19</v>
      </c>
      <c r="N149" s="2">
        <f>(Posts__2[[#This Row],[Likes]]+Posts__2[[#This Row],[Shares]]+Posts__2[[#This Row],[Comments]])/Posts__2[[#This Row],[Impressions]]</f>
        <v>0.20357370772176134</v>
      </c>
      <c r="O149" s="7">
        <f>Posts__2[[#This Row],[Likes]]+Posts__2[[#This Row],[Shares]]+Posts__2[[#This Row],[Comments]]</f>
        <v>4466</v>
      </c>
      <c r="P149" s="7">
        <f>_xlfn.XLOOKUP(Posts__2[[#This Row],[Platform]],'Engagement Summary'!B:B,'Engagement Summary'!G:G,"NA",0)</f>
        <v>5904</v>
      </c>
      <c r="Q149" t="str">
        <f>IFERROR(IF(C149 &lt; _xlfn.XLOOKUP(M149, 'Campaign Metadata'!A:A, 'Campaign Metadata'!B:B), "Before", "During"), "Not Found")</f>
        <v>Before</v>
      </c>
      <c r="R149" s="13">
        <f>Posts__2[[#This Row],[Engagement]]/Posts__2[[#This Row],[Ad Spend]]</f>
        <v>0.75643631436314362</v>
      </c>
    </row>
    <row r="150" spans="1:18" x14ac:dyDescent="0.3">
      <c r="A150" t="s">
        <v>216</v>
      </c>
      <c r="B150" t="s">
        <v>31</v>
      </c>
      <c r="C150" s="1">
        <v>45504</v>
      </c>
      <c r="D150" t="s">
        <v>82</v>
      </c>
      <c r="E150" t="s">
        <v>83</v>
      </c>
      <c r="F150">
        <v>3008</v>
      </c>
      <c r="G150">
        <v>94</v>
      </c>
      <c r="H150">
        <v>37</v>
      </c>
      <c r="I150">
        <v>15040</v>
      </c>
      <c r="J150">
        <v>14639</v>
      </c>
      <c r="K150">
        <v>277</v>
      </c>
      <c r="L150" t="s">
        <v>48</v>
      </c>
      <c r="M150" t="s">
        <v>380</v>
      </c>
      <c r="N150" s="2">
        <f>(Posts__2[[#This Row],[Likes]]+Posts__2[[#This Row],[Shares]]+Posts__2[[#This Row],[Comments]])/Posts__2[[#This Row],[Impressions]]</f>
        <v>0.20871010638297871</v>
      </c>
      <c r="O150" s="7">
        <f>Posts__2[[#This Row],[Likes]]+Posts__2[[#This Row],[Shares]]+Posts__2[[#This Row],[Comments]]</f>
        <v>3139</v>
      </c>
      <c r="P150" s="7">
        <f>_xlfn.XLOOKUP(Posts__2[[#This Row],[Platform]],'Engagement Summary'!B:B,'Engagement Summary'!G:G,"NA",0)</f>
        <v>9566</v>
      </c>
      <c r="Q150" t="str">
        <f>IFERROR(IF(C150 &lt; _xlfn.XLOOKUP(M150, 'Campaign Metadata'!A:A, 'Campaign Metadata'!B:B), "Before", "During"), "Not Found")</f>
        <v>Not Found</v>
      </c>
      <c r="R150" s="13">
        <f>Posts__2[[#This Row],[Engagement]]/Posts__2[[#This Row],[Ad Spend]]</f>
        <v>0.32814133389086347</v>
      </c>
    </row>
    <row r="151" spans="1:18" x14ac:dyDescent="0.3">
      <c r="A151" t="s">
        <v>217</v>
      </c>
      <c r="B151" t="s">
        <v>32</v>
      </c>
      <c r="C151" s="1">
        <v>45745</v>
      </c>
      <c r="D151" t="s">
        <v>68</v>
      </c>
      <c r="E151" t="s">
        <v>114</v>
      </c>
      <c r="F151">
        <v>305</v>
      </c>
      <c r="G151">
        <v>187</v>
      </c>
      <c r="H151">
        <v>243</v>
      </c>
      <c r="I151">
        <v>4575</v>
      </c>
      <c r="J151">
        <v>3704</v>
      </c>
      <c r="K151">
        <v>234</v>
      </c>
      <c r="L151" t="s">
        <v>48</v>
      </c>
      <c r="M151" t="s">
        <v>15</v>
      </c>
      <c r="N151" s="2">
        <f>(Posts__2[[#This Row],[Likes]]+Posts__2[[#This Row],[Shares]]+Posts__2[[#This Row],[Comments]])/Posts__2[[#This Row],[Impressions]]</f>
        <v>0.16065573770491803</v>
      </c>
      <c r="O151" s="7">
        <f>Posts__2[[#This Row],[Likes]]+Posts__2[[#This Row],[Shares]]+Posts__2[[#This Row],[Comments]]</f>
        <v>735</v>
      </c>
      <c r="P151" s="7">
        <f>_xlfn.XLOOKUP(Posts__2[[#This Row],[Platform]],'Engagement Summary'!B:B,'Engagement Summary'!G:G,"NA",0)</f>
        <v>26752</v>
      </c>
      <c r="Q151" t="str">
        <f>IFERROR(IF(C151 &lt; _xlfn.XLOOKUP(M151, 'Campaign Metadata'!A:A, 'Campaign Metadata'!B:B), "Before", "During"), "Not Found")</f>
        <v>During</v>
      </c>
      <c r="R151" s="13">
        <f>Posts__2[[#This Row],[Engagement]]/Posts__2[[#This Row],[Ad Spend]]</f>
        <v>2.7474581339712919E-2</v>
      </c>
    </row>
    <row r="152" spans="1:18" x14ac:dyDescent="0.3">
      <c r="A152" t="s">
        <v>218</v>
      </c>
      <c r="B152" t="s">
        <v>33</v>
      </c>
      <c r="C152" s="1">
        <v>45594</v>
      </c>
      <c r="D152" t="s">
        <v>51</v>
      </c>
      <c r="E152" t="s">
        <v>99</v>
      </c>
      <c r="F152">
        <v>2746</v>
      </c>
      <c r="G152">
        <v>156</v>
      </c>
      <c r="H152">
        <v>203</v>
      </c>
      <c r="I152">
        <v>32952</v>
      </c>
      <c r="J152">
        <v>32147</v>
      </c>
      <c r="K152">
        <v>147</v>
      </c>
      <c r="L152" t="s">
        <v>60</v>
      </c>
      <c r="M152" t="s">
        <v>7</v>
      </c>
      <c r="N152" s="2">
        <f>(Posts__2[[#This Row],[Likes]]+Posts__2[[#This Row],[Shares]]+Posts__2[[#This Row],[Comments]])/Posts__2[[#This Row],[Impressions]]</f>
        <v>9.422796795338674E-2</v>
      </c>
      <c r="O152" s="7">
        <f>Posts__2[[#This Row],[Likes]]+Posts__2[[#This Row],[Shares]]+Posts__2[[#This Row],[Comments]]</f>
        <v>3105</v>
      </c>
      <c r="P152" s="7">
        <f>_xlfn.XLOOKUP(Posts__2[[#This Row],[Platform]],'Engagement Summary'!B:B,'Engagement Summary'!G:G,"NA",0)</f>
        <v>30671</v>
      </c>
      <c r="Q152" t="str">
        <f>IFERROR(IF(C152 &lt; _xlfn.XLOOKUP(M152, 'Campaign Metadata'!A:A, 'Campaign Metadata'!B:B), "Before", "During"), "Not Found")</f>
        <v>During</v>
      </c>
      <c r="R152" s="13">
        <f>Posts__2[[#This Row],[Engagement]]/Posts__2[[#This Row],[Ad Spend]]</f>
        <v>0.1012356949561475</v>
      </c>
    </row>
    <row r="153" spans="1:18" x14ac:dyDescent="0.3">
      <c r="A153" t="s">
        <v>219</v>
      </c>
      <c r="B153" t="s">
        <v>31</v>
      </c>
      <c r="C153" s="1">
        <v>45488</v>
      </c>
      <c r="D153" t="s">
        <v>68</v>
      </c>
      <c r="E153" t="s">
        <v>73</v>
      </c>
      <c r="F153">
        <v>2291</v>
      </c>
      <c r="G153">
        <v>78</v>
      </c>
      <c r="H153">
        <v>485</v>
      </c>
      <c r="I153">
        <v>18328</v>
      </c>
      <c r="J153">
        <v>18101</v>
      </c>
      <c r="K153">
        <v>10</v>
      </c>
      <c r="L153" t="s">
        <v>60</v>
      </c>
      <c r="M153" t="s">
        <v>11</v>
      </c>
      <c r="N153" s="2">
        <f>(Posts__2[[#This Row],[Likes]]+Posts__2[[#This Row],[Shares]]+Posts__2[[#This Row],[Comments]])/Posts__2[[#This Row],[Impressions]]</f>
        <v>0.15571802706241816</v>
      </c>
      <c r="O153" s="7">
        <f>Posts__2[[#This Row],[Likes]]+Posts__2[[#This Row],[Shares]]+Posts__2[[#This Row],[Comments]]</f>
        <v>2854</v>
      </c>
      <c r="P153" s="7">
        <f>_xlfn.XLOOKUP(Posts__2[[#This Row],[Platform]],'Engagement Summary'!B:B,'Engagement Summary'!G:G,"NA",0)</f>
        <v>9566</v>
      </c>
      <c r="Q153" t="str">
        <f>IFERROR(IF(C153 &lt; _xlfn.XLOOKUP(M153, 'Campaign Metadata'!A:A, 'Campaign Metadata'!B:B), "Before", "During"), "Not Found")</f>
        <v>Before</v>
      </c>
      <c r="R153" s="13">
        <f>Posts__2[[#This Row],[Engagement]]/Posts__2[[#This Row],[Ad Spend]]</f>
        <v>0.29834831695588543</v>
      </c>
    </row>
    <row r="154" spans="1:18" x14ac:dyDescent="0.3">
      <c r="A154" t="s">
        <v>219</v>
      </c>
      <c r="B154" t="s">
        <v>31</v>
      </c>
      <c r="C154" s="1">
        <v>45488</v>
      </c>
      <c r="D154" t="s">
        <v>68</v>
      </c>
      <c r="E154" t="s">
        <v>73</v>
      </c>
      <c r="F154">
        <v>2291</v>
      </c>
      <c r="G154">
        <v>78</v>
      </c>
      <c r="H154">
        <v>485</v>
      </c>
      <c r="I154">
        <v>18328</v>
      </c>
      <c r="J154">
        <v>18101</v>
      </c>
      <c r="K154">
        <v>10</v>
      </c>
      <c r="L154" t="s">
        <v>18</v>
      </c>
      <c r="M154" t="s">
        <v>11</v>
      </c>
      <c r="N154" s="2">
        <f>(Posts__2[[#This Row],[Likes]]+Posts__2[[#This Row],[Shares]]+Posts__2[[#This Row],[Comments]])/Posts__2[[#This Row],[Impressions]]</f>
        <v>0.15571802706241816</v>
      </c>
      <c r="O154" s="7">
        <f>Posts__2[[#This Row],[Likes]]+Posts__2[[#This Row],[Shares]]+Posts__2[[#This Row],[Comments]]</f>
        <v>2854</v>
      </c>
      <c r="P154" s="7">
        <f>_xlfn.XLOOKUP(Posts__2[[#This Row],[Platform]],'Engagement Summary'!B:B,'Engagement Summary'!G:G,"NA",0)</f>
        <v>9566</v>
      </c>
      <c r="Q154" t="str">
        <f>IFERROR(IF(C154 &lt; _xlfn.XLOOKUP(M154, 'Campaign Metadata'!A:A, 'Campaign Metadata'!B:B), "Before", "During"), "Not Found")</f>
        <v>Before</v>
      </c>
      <c r="R154" s="13">
        <f>Posts__2[[#This Row],[Engagement]]/Posts__2[[#This Row],[Ad Spend]]</f>
        <v>0.29834831695588543</v>
      </c>
    </row>
    <row r="155" spans="1:18" x14ac:dyDescent="0.3">
      <c r="A155" t="s">
        <v>220</v>
      </c>
      <c r="B155" t="s">
        <v>32</v>
      </c>
      <c r="C155" s="1">
        <v>45535</v>
      </c>
      <c r="D155" t="s">
        <v>68</v>
      </c>
      <c r="E155" t="s">
        <v>114</v>
      </c>
      <c r="F155">
        <v>3170</v>
      </c>
      <c r="G155">
        <v>857</v>
      </c>
      <c r="H155">
        <v>379</v>
      </c>
      <c r="I155">
        <v>19020</v>
      </c>
      <c r="J155">
        <v>18559</v>
      </c>
      <c r="K155">
        <v>240</v>
      </c>
      <c r="L155" t="s">
        <v>48</v>
      </c>
      <c r="M155" t="s">
        <v>380</v>
      </c>
      <c r="N155" s="2">
        <f>(Posts__2[[#This Row],[Likes]]+Posts__2[[#This Row],[Shares]]+Posts__2[[#This Row],[Comments]])/Posts__2[[#This Row],[Impressions]]</f>
        <v>0.2316508937960042</v>
      </c>
      <c r="O155" s="7">
        <f>Posts__2[[#This Row],[Likes]]+Posts__2[[#This Row],[Shares]]+Posts__2[[#This Row],[Comments]]</f>
        <v>4406</v>
      </c>
      <c r="P155" s="7">
        <f>_xlfn.XLOOKUP(Posts__2[[#This Row],[Platform]],'Engagement Summary'!B:B,'Engagement Summary'!G:G,"NA",0)</f>
        <v>26752</v>
      </c>
      <c r="Q155" t="str">
        <f>IFERROR(IF(C155 &lt; _xlfn.XLOOKUP(M155, 'Campaign Metadata'!A:A, 'Campaign Metadata'!B:B), "Before", "During"), "Not Found")</f>
        <v>Not Found</v>
      </c>
      <c r="R155" s="13">
        <f>Posts__2[[#This Row],[Engagement]]/Posts__2[[#This Row],[Ad Spend]]</f>
        <v>0.16469796650717702</v>
      </c>
    </row>
    <row r="156" spans="1:18" x14ac:dyDescent="0.3">
      <c r="A156" t="s">
        <v>221</v>
      </c>
      <c r="B156" t="s">
        <v>33</v>
      </c>
      <c r="C156" s="1">
        <v>45741</v>
      </c>
      <c r="D156" t="s">
        <v>58</v>
      </c>
      <c r="E156" t="s">
        <v>127</v>
      </c>
      <c r="F156">
        <v>2070</v>
      </c>
      <c r="G156">
        <v>275</v>
      </c>
      <c r="H156">
        <v>386</v>
      </c>
      <c r="I156">
        <v>39330</v>
      </c>
      <c r="J156">
        <v>38627</v>
      </c>
      <c r="K156">
        <v>114</v>
      </c>
      <c r="L156" t="s">
        <v>48</v>
      </c>
      <c r="M156" t="s">
        <v>19</v>
      </c>
      <c r="N156" s="2">
        <f>(Posts__2[[#This Row],[Likes]]+Posts__2[[#This Row],[Shares]]+Posts__2[[#This Row],[Comments]])/Posts__2[[#This Row],[Impressions]]</f>
        <v>6.9438087973557078E-2</v>
      </c>
      <c r="O156" s="7">
        <f>Posts__2[[#This Row],[Likes]]+Posts__2[[#This Row],[Shares]]+Posts__2[[#This Row],[Comments]]</f>
        <v>2731</v>
      </c>
      <c r="P156" s="7">
        <f>_xlfn.XLOOKUP(Posts__2[[#This Row],[Platform]],'Engagement Summary'!B:B,'Engagement Summary'!G:G,"NA",0)</f>
        <v>30671</v>
      </c>
      <c r="Q156" t="str">
        <f>IFERROR(IF(C156 &lt; _xlfn.XLOOKUP(M156, 'Campaign Metadata'!A:A, 'Campaign Metadata'!B:B), "Before", "During"), "Not Found")</f>
        <v>During</v>
      </c>
      <c r="R156" s="13">
        <f>Posts__2[[#This Row],[Engagement]]/Posts__2[[#This Row],[Ad Spend]]</f>
        <v>8.9041765837436018E-2</v>
      </c>
    </row>
    <row r="157" spans="1:18" x14ac:dyDescent="0.3">
      <c r="A157" t="s">
        <v>222</v>
      </c>
      <c r="B157" t="s">
        <v>33</v>
      </c>
      <c r="C157" s="1">
        <v>45567</v>
      </c>
      <c r="D157" t="s">
        <v>63</v>
      </c>
      <c r="E157" t="s">
        <v>78</v>
      </c>
      <c r="F157">
        <v>80</v>
      </c>
      <c r="G157">
        <v>362</v>
      </c>
      <c r="H157">
        <v>80</v>
      </c>
      <c r="I157">
        <v>1040</v>
      </c>
      <c r="J157">
        <v>349</v>
      </c>
      <c r="K157">
        <v>117</v>
      </c>
      <c r="L157" t="s">
        <v>53</v>
      </c>
      <c r="M157" t="s">
        <v>15</v>
      </c>
      <c r="N157" s="2">
        <f>(Posts__2[[#This Row],[Likes]]+Posts__2[[#This Row],[Shares]]+Posts__2[[#This Row],[Comments]])/Posts__2[[#This Row],[Impressions]]</f>
        <v>0.50192307692307692</v>
      </c>
      <c r="O157" s="7">
        <f>Posts__2[[#This Row],[Likes]]+Posts__2[[#This Row],[Shares]]+Posts__2[[#This Row],[Comments]]</f>
        <v>522</v>
      </c>
      <c r="P157" s="7">
        <f>_xlfn.XLOOKUP(Posts__2[[#This Row],[Platform]],'Engagement Summary'!B:B,'Engagement Summary'!G:G,"NA",0)</f>
        <v>30671</v>
      </c>
      <c r="Q157" t="str">
        <f>IFERROR(IF(C157 &lt; _xlfn.XLOOKUP(M157, 'Campaign Metadata'!A:A, 'Campaign Metadata'!B:B), "Before", "During"), "Not Found")</f>
        <v>Before</v>
      </c>
      <c r="R157" s="13">
        <f>Posts__2[[#This Row],[Engagement]]/Posts__2[[#This Row],[Ad Spend]]</f>
        <v>1.7019334224511753E-2</v>
      </c>
    </row>
    <row r="158" spans="1:18" x14ac:dyDescent="0.3">
      <c r="A158" t="s">
        <v>223</v>
      </c>
      <c r="B158" t="s">
        <v>33</v>
      </c>
      <c r="C158" s="1">
        <v>45593</v>
      </c>
      <c r="D158" t="s">
        <v>58</v>
      </c>
      <c r="E158" t="s">
        <v>127</v>
      </c>
      <c r="F158">
        <v>4929</v>
      </c>
      <c r="G158">
        <v>749</v>
      </c>
      <c r="H158">
        <v>452</v>
      </c>
      <c r="I158">
        <v>93651</v>
      </c>
      <c r="J158">
        <v>92810</v>
      </c>
      <c r="K158">
        <v>66</v>
      </c>
      <c r="L158" t="s">
        <v>60</v>
      </c>
      <c r="M158" t="s">
        <v>19</v>
      </c>
      <c r="N158" s="2">
        <f>(Posts__2[[#This Row],[Likes]]+Posts__2[[#This Row],[Shares]]+Posts__2[[#This Row],[Comments]])/Posts__2[[#This Row],[Impressions]]</f>
        <v>6.5455787978772245E-2</v>
      </c>
      <c r="O158" s="7">
        <f>Posts__2[[#This Row],[Likes]]+Posts__2[[#This Row],[Shares]]+Posts__2[[#This Row],[Comments]]</f>
        <v>6130</v>
      </c>
      <c r="P158" s="7">
        <f>_xlfn.XLOOKUP(Posts__2[[#This Row],[Platform]],'Engagement Summary'!B:B,'Engagement Summary'!G:G,"NA",0)</f>
        <v>30671</v>
      </c>
      <c r="Q158" t="str">
        <f>IFERROR(IF(C158 &lt; _xlfn.XLOOKUP(M158, 'Campaign Metadata'!A:A, 'Campaign Metadata'!B:B), "Before", "During"), "Not Found")</f>
        <v>Before</v>
      </c>
      <c r="R158" s="13">
        <f>Posts__2[[#This Row],[Engagement]]/Posts__2[[#This Row],[Ad Spend]]</f>
        <v>0.19986306282807864</v>
      </c>
    </row>
    <row r="159" spans="1:18" x14ac:dyDescent="0.3">
      <c r="A159" t="s">
        <v>224</v>
      </c>
      <c r="B159" t="s">
        <v>30</v>
      </c>
      <c r="C159" s="1">
        <v>45516</v>
      </c>
      <c r="D159" t="s">
        <v>63</v>
      </c>
      <c r="E159" t="s">
        <v>91</v>
      </c>
      <c r="F159">
        <v>1878</v>
      </c>
      <c r="G159">
        <v>62</v>
      </c>
      <c r="H159">
        <v>179</v>
      </c>
      <c r="I159">
        <v>37560</v>
      </c>
      <c r="J159">
        <v>36874</v>
      </c>
      <c r="K159">
        <v>142</v>
      </c>
      <c r="L159" t="s">
        <v>53</v>
      </c>
      <c r="M159" t="s">
        <v>19</v>
      </c>
      <c r="N159" s="2">
        <f>(Posts__2[[#This Row],[Likes]]+Posts__2[[#This Row],[Shares]]+Posts__2[[#This Row],[Comments]])/Posts__2[[#This Row],[Impressions]]</f>
        <v>5.6416400425985093E-2</v>
      </c>
      <c r="O159" s="7">
        <f>Posts__2[[#This Row],[Likes]]+Posts__2[[#This Row],[Shares]]+Posts__2[[#This Row],[Comments]]</f>
        <v>2119</v>
      </c>
      <c r="P159" s="7">
        <f>_xlfn.XLOOKUP(Posts__2[[#This Row],[Platform]],'Engagement Summary'!B:B,'Engagement Summary'!G:G,"NA",0)</f>
        <v>5904</v>
      </c>
      <c r="Q159" t="str">
        <f>IFERROR(IF(C159 &lt; _xlfn.XLOOKUP(M159, 'Campaign Metadata'!A:A, 'Campaign Metadata'!B:B), "Before", "During"), "Not Found")</f>
        <v>Before</v>
      </c>
      <c r="R159" s="13">
        <f>Posts__2[[#This Row],[Engagement]]/Posts__2[[#This Row],[Ad Spend]]</f>
        <v>0.35890921409214094</v>
      </c>
    </row>
    <row r="160" spans="1:18" x14ac:dyDescent="0.3">
      <c r="A160" t="s">
        <v>225</v>
      </c>
      <c r="B160" t="s">
        <v>33</v>
      </c>
      <c r="C160" s="1">
        <v>45448</v>
      </c>
      <c r="D160" t="s">
        <v>46</v>
      </c>
      <c r="E160" t="s">
        <v>56</v>
      </c>
      <c r="F160">
        <v>3065</v>
      </c>
      <c r="G160">
        <v>772</v>
      </c>
      <c r="H160">
        <v>142</v>
      </c>
      <c r="I160">
        <v>18390</v>
      </c>
      <c r="J160">
        <v>17875</v>
      </c>
      <c r="K160">
        <v>200</v>
      </c>
      <c r="L160" t="s">
        <v>60</v>
      </c>
      <c r="M160" t="s">
        <v>380</v>
      </c>
      <c r="N160" s="2">
        <f>(Posts__2[[#This Row],[Likes]]+Posts__2[[#This Row],[Shares]]+Posts__2[[#This Row],[Comments]])/Posts__2[[#This Row],[Impressions]]</f>
        <v>0.21636759108210984</v>
      </c>
      <c r="O160" s="7">
        <f>Posts__2[[#This Row],[Likes]]+Posts__2[[#This Row],[Shares]]+Posts__2[[#This Row],[Comments]]</f>
        <v>3979</v>
      </c>
      <c r="P160" s="7">
        <f>_xlfn.XLOOKUP(Posts__2[[#This Row],[Platform]],'Engagement Summary'!B:B,'Engagement Summary'!G:G,"NA",0)</f>
        <v>30671</v>
      </c>
      <c r="Q160" t="str">
        <f>IFERROR(IF(C160 &lt; _xlfn.XLOOKUP(M160, 'Campaign Metadata'!A:A, 'Campaign Metadata'!B:B), "Before", "During"), "Not Found")</f>
        <v>Not Found</v>
      </c>
      <c r="R160" s="13">
        <f>Posts__2[[#This Row],[Engagement]]/Posts__2[[#This Row],[Ad Spend]]</f>
        <v>0.12973166835121125</v>
      </c>
    </row>
    <row r="161" spans="1:18" x14ac:dyDescent="0.3">
      <c r="A161" t="s">
        <v>225</v>
      </c>
      <c r="B161" t="s">
        <v>33</v>
      </c>
      <c r="C161" s="1">
        <v>45448</v>
      </c>
      <c r="D161" t="s">
        <v>46</v>
      </c>
      <c r="E161" t="s">
        <v>56</v>
      </c>
      <c r="F161">
        <v>3065</v>
      </c>
      <c r="G161">
        <v>772</v>
      </c>
      <c r="H161">
        <v>142</v>
      </c>
      <c r="I161">
        <v>18390</v>
      </c>
      <c r="J161">
        <v>17875</v>
      </c>
      <c r="K161">
        <v>200</v>
      </c>
      <c r="L161" t="s">
        <v>49</v>
      </c>
      <c r="M161" t="s">
        <v>380</v>
      </c>
      <c r="N161" s="2">
        <f>(Posts__2[[#This Row],[Likes]]+Posts__2[[#This Row],[Shares]]+Posts__2[[#This Row],[Comments]])/Posts__2[[#This Row],[Impressions]]</f>
        <v>0.21636759108210984</v>
      </c>
      <c r="O161" s="7">
        <f>Posts__2[[#This Row],[Likes]]+Posts__2[[#This Row],[Shares]]+Posts__2[[#This Row],[Comments]]</f>
        <v>3979</v>
      </c>
      <c r="P161" s="7">
        <f>_xlfn.XLOOKUP(Posts__2[[#This Row],[Platform]],'Engagement Summary'!B:B,'Engagement Summary'!G:G,"NA",0)</f>
        <v>30671</v>
      </c>
      <c r="Q161" t="str">
        <f>IFERROR(IF(C161 &lt; _xlfn.XLOOKUP(M161, 'Campaign Metadata'!A:A, 'Campaign Metadata'!B:B), "Before", "During"), "Not Found")</f>
        <v>Not Found</v>
      </c>
      <c r="R161" s="13">
        <f>Posts__2[[#This Row],[Engagement]]/Posts__2[[#This Row],[Ad Spend]]</f>
        <v>0.12973166835121125</v>
      </c>
    </row>
    <row r="162" spans="1:18" x14ac:dyDescent="0.3">
      <c r="A162" t="s">
        <v>226</v>
      </c>
      <c r="B162" t="s">
        <v>30</v>
      </c>
      <c r="C162" s="1">
        <v>45586</v>
      </c>
      <c r="D162" t="s">
        <v>46</v>
      </c>
      <c r="E162" t="s">
        <v>87</v>
      </c>
      <c r="F162">
        <v>3256</v>
      </c>
      <c r="G162">
        <v>459</v>
      </c>
      <c r="H162">
        <v>266</v>
      </c>
      <c r="I162">
        <v>26048</v>
      </c>
      <c r="J162">
        <v>25529</v>
      </c>
      <c r="K162">
        <v>143</v>
      </c>
      <c r="L162" t="s">
        <v>53</v>
      </c>
      <c r="M162" t="s">
        <v>11</v>
      </c>
      <c r="N162" s="2">
        <f>(Posts__2[[#This Row],[Likes]]+Posts__2[[#This Row],[Shares]]+Posts__2[[#This Row],[Comments]])/Posts__2[[#This Row],[Impressions]]</f>
        <v>0.15283323095823095</v>
      </c>
      <c r="O162" s="7">
        <f>Posts__2[[#This Row],[Likes]]+Posts__2[[#This Row],[Shares]]+Posts__2[[#This Row],[Comments]]</f>
        <v>3981</v>
      </c>
      <c r="P162" s="7">
        <f>_xlfn.XLOOKUP(Posts__2[[#This Row],[Platform]],'Engagement Summary'!B:B,'Engagement Summary'!G:G,"NA",0)</f>
        <v>5904</v>
      </c>
      <c r="Q162" t="str">
        <f>IFERROR(IF(C162 &lt; _xlfn.XLOOKUP(M162, 'Campaign Metadata'!A:A, 'Campaign Metadata'!B:B), "Before", "During"), "Not Found")</f>
        <v>During</v>
      </c>
      <c r="R162" s="13">
        <f>Posts__2[[#This Row],[Engagement]]/Posts__2[[#This Row],[Ad Spend]]</f>
        <v>0.67428861788617889</v>
      </c>
    </row>
    <row r="163" spans="1:18" x14ac:dyDescent="0.3">
      <c r="A163" t="s">
        <v>227</v>
      </c>
      <c r="B163" t="s">
        <v>30</v>
      </c>
      <c r="C163" s="1">
        <v>45762</v>
      </c>
      <c r="D163" t="s">
        <v>82</v>
      </c>
      <c r="E163" t="s">
        <v>89</v>
      </c>
      <c r="F163">
        <v>4133</v>
      </c>
      <c r="G163">
        <v>466</v>
      </c>
      <c r="H163">
        <v>327</v>
      </c>
      <c r="I163">
        <v>24798</v>
      </c>
      <c r="J163">
        <v>24620</v>
      </c>
      <c r="K163">
        <v>176</v>
      </c>
      <c r="L163" t="s">
        <v>60</v>
      </c>
      <c r="M163" t="s">
        <v>19</v>
      </c>
      <c r="N163" s="2">
        <f>(Posts__2[[#This Row],[Likes]]+Posts__2[[#This Row],[Shares]]+Posts__2[[#This Row],[Comments]])/Posts__2[[#This Row],[Impressions]]</f>
        <v>0.19864505202032423</v>
      </c>
      <c r="O163" s="7">
        <f>Posts__2[[#This Row],[Likes]]+Posts__2[[#This Row],[Shares]]+Posts__2[[#This Row],[Comments]]</f>
        <v>4926</v>
      </c>
      <c r="P163" s="7">
        <f>_xlfn.XLOOKUP(Posts__2[[#This Row],[Platform]],'Engagement Summary'!B:B,'Engagement Summary'!G:G,"NA",0)</f>
        <v>5904</v>
      </c>
      <c r="Q163" t="str">
        <f>IFERROR(IF(C163 &lt; _xlfn.XLOOKUP(M163, 'Campaign Metadata'!A:A, 'Campaign Metadata'!B:B), "Before", "During"), "Not Found")</f>
        <v>During</v>
      </c>
      <c r="R163" s="13">
        <f>Posts__2[[#This Row],[Engagement]]/Posts__2[[#This Row],[Ad Spend]]</f>
        <v>0.83434959349593496</v>
      </c>
    </row>
    <row r="164" spans="1:18" x14ac:dyDescent="0.3">
      <c r="A164" t="s">
        <v>228</v>
      </c>
      <c r="B164" t="s">
        <v>32</v>
      </c>
      <c r="C164" s="1">
        <v>45459</v>
      </c>
      <c r="D164" t="s">
        <v>82</v>
      </c>
      <c r="E164" t="s">
        <v>121</v>
      </c>
      <c r="F164">
        <v>1702</v>
      </c>
      <c r="G164">
        <v>750</v>
      </c>
      <c r="H164">
        <v>179</v>
      </c>
      <c r="I164">
        <v>34040</v>
      </c>
      <c r="J164">
        <v>33174</v>
      </c>
      <c r="K164">
        <v>76</v>
      </c>
      <c r="L164" t="s">
        <v>60</v>
      </c>
      <c r="M164" t="s">
        <v>7</v>
      </c>
      <c r="N164" s="2">
        <f>(Posts__2[[#This Row],[Likes]]+Posts__2[[#This Row],[Shares]]+Posts__2[[#This Row],[Comments]])/Posts__2[[#This Row],[Impressions]]</f>
        <v>7.7291421856639245E-2</v>
      </c>
      <c r="O164" s="7">
        <f>Posts__2[[#This Row],[Likes]]+Posts__2[[#This Row],[Shares]]+Posts__2[[#This Row],[Comments]]</f>
        <v>2631</v>
      </c>
      <c r="P164" s="7">
        <f>_xlfn.XLOOKUP(Posts__2[[#This Row],[Platform]],'Engagement Summary'!B:B,'Engagement Summary'!G:G,"NA",0)</f>
        <v>26752</v>
      </c>
      <c r="Q164" t="str">
        <f>IFERROR(IF(C164 &lt; _xlfn.XLOOKUP(M164, 'Campaign Metadata'!A:A, 'Campaign Metadata'!B:B), "Before", "During"), "Not Found")</f>
        <v>During</v>
      </c>
      <c r="R164" s="13">
        <f>Posts__2[[#This Row],[Engagement]]/Posts__2[[#This Row],[Ad Spend]]</f>
        <v>9.8347787081339719E-2</v>
      </c>
    </row>
    <row r="165" spans="1:18" x14ac:dyDescent="0.3">
      <c r="A165" t="s">
        <v>229</v>
      </c>
      <c r="B165" t="s">
        <v>33</v>
      </c>
      <c r="C165" s="1">
        <v>45526</v>
      </c>
      <c r="D165" t="s">
        <v>63</v>
      </c>
      <c r="E165" t="s">
        <v>78</v>
      </c>
      <c r="F165">
        <v>4295</v>
      </c>
      <c r="G165">
        <v>853</v>
      </c>
      <c r="H165">
        <v>325</v>
      </c>
      <c r="I165">
        <v>85900</v>
      </c>
      <c r="J165">
        <v>85788</v>
      </c>
      <c r="K165">
        <v>290</v>
      </c>
      <c r="L165" t="s">
        <v>53</v>
      </c>
      <c r="M165" t="s">
        <v>19</v>
      </c>
      <c r="N165" s="2">
        <f>(Posts__2[[#This Row],[Likes]]+Posts__2[[#This Row],[Shares]]+Posts__2[[#This Row],[Comments]])/Posts__2[[#This Row],[Impressions]]</f>
        <v>6.3713620488940623E-2</v>
      </c>
      <c r="O165" s="7">
        <f>Posts__2[[#This Row],[Likes]]+Posts__2[[#This Row],[Shares]]+Posts__2[[#This Row],[Comments]]</f>
        <v>5473</v>
      </c>
      <c r="P165" s="7">
        <f>_xlfn.XLOOKUP(Posts__2[[#This Row],[Platform]],'Engagement Summary'!B:B,'Engagement Summary'!G:G,"NA",0)</f>
        <v>30671</v>
      </c>
      <c r="Q165" t="str">
        <f>IFERROR(IF(C165 &lt; _xlfn.XLOOKUP(M165, 'Campaign Metadata'!A:A, 'Campaign Metadata'!B:B), "Before", "During"), "Not Found")</f>
        <v>Before</v>
      </c>
      <c r="R165" s="13">
        <f>Posts__2[[#This Row],[Engagement]]/Posts__2[[#This Row],[Ad Spend]]</f>
        <v>0.17844217664895179</v>
      </c>
    </row>
    <row r="166" spans="1:18" x14ac:dyDescent="0.3">
      <c r="A166" t="s">
        <v>230</v>
      </c>
      <c r="B166" t="s">
        <v>30</v>
      </c>
      <c r="C166" s="1">
        <v>45499</v>
      </c>
      <c r="D166" t="s">
        <v>68</v>
      </c>
      <c r="E166" t="s">
        <v>160</v>
      </c>
      <c r="F166">
        <v>3559</v>
      </c>
      <c r="G166">
        <v>59</v>
      </c>
      <c r="H166">
        <v>289</v>
      </c>
      <c r="I166">
        <v>35590</v>
      </c>
      <c r="J166">
        <v>35105</v>
      </c>
      <c r="K166">
        <v>122</v>
      </c>
      <c r="L166" t="s">
        <v>60</v>
      </c>
      <c r="M166" t="s">
        <v>7</v>
      </c>
      <c r="N166" s="2">
        <f>(Posts__2[[#This Row],[Likes]]+Posts__2[[#This Row],[Shares]]+Posts__2[[#This Row],[Comments]])/Posts__2[[#This Row],[Impressions]]</f>
        <v>0.10977802753582468</v>
      </c>
      <c r="O166" s="7">
        <f>Posts__2[[#This Row],[Likes]]+Posts__2[[#This Row],[Shares]]+Posts__2[[#This Row],[Comments]]</f>
        <v>3907</v>
      </c>
      <c r="P166" s="7">
        <f>_xlfn.XLOOKUP(Posts__2[[#This Row],[Platform]],'Engagement Summary'!B:B,'Engagement Summary'!G:G,"NA",0)</f>
        <v>5904</v>
      </c>
      <c r="Q166" t="str">
        <f>IFERROR(IF(C166 &lt; _xlfn.XLOOKUP(M166, 'Campaign Metadata'!A:A, 'Campaign Metadata'!B:B), "Before", "During"), "Not Found")</f>
        <v>During</v>
      </c>
      <c r="R166" s="13">
        <f>Posts__2[[#This Row],[Engagement]]/Posts__2[[#This Row],[Ad Spend]]</f>
        <v>0.6617547425474255</v>
      </c>
    </row>
    <row r="167" spans="1:18" x14ac:dyDescent="0.3">
      <c r="A167" t="s">
        <v>231</v>
      </c>
      <c r="B167" t="s">
        <v>31</v>
      </c>
      <c r="C167" s="1">
        <v>45769</v>
      </c>
      <c r="D167" t="s">
        <v>68</v>
      </c>
      <c r="E167" t="s">
        <v>73</v>
      </c>
      <c r="F167">
        <v>4804</v>
      </c>
      <c r="G167">
        <v>550</v>
      </c>
      <c r="H167">
        <v>270</v>
      </c>
      <c r="I167">
        <v>28824</v>
      </c>
      <c r="J167">
        <v>28370</v>
      </c>
      <c r="K167">
        <v>47</v>
      </c>
      <c r="L167" t="s">
        <v>60</v>
      </c>
      <c r="M167" t="s">
        <v>19</v>
      </c>
      <c r="N167" s="2">
        <f>(Posts__2[[#This Row],[Likes]]+Posts__2[[#This Row],[Shares]]+Posts__2[[#This Row],[Comments]])/Posts__2[[#This Row],[Impressions]]</f>
        <v>0.19511518179295032</v>
      </c>
      <c r="O167" s="7">
        <f>Posts__2[[#This Row],[Likes]]+Posts__2[[#This Row],[Shares]]+Posts__2[[#This Row],[Comments]]</f>
        <v>5624</v>
      </c>
      <c r="P167" s="7">
        <f>_xlfn.XLOOKUP(Posts__2[[#This Row],[Platform]],'Engagement Summary'!B:B,'Engagement Summary'!G:G,"NA",0)</f>
        <v>9566</v>
      </c>
      <c r="Q167" t="str">
        <f>IFERROR(IF(C167 &lt; _xlfn.XLOOKUP(M167, 'Campaign Metadata'!A:A, 'Campaign Metadata'!B:B), "Before", "During"), "Not Found")</f>
        <v>During</v>
      </c>
      <c r="R167" s="13">
        <f>Posts__2[[#This Row],[Engagement]]/Posts__2[[#This Row],[Ad Spend]]</f>
        <v>0.58791553418356679</v>
      </c>
    </row>
    <row r="168" spans="1:18" x14ac:dyDescent="0.3">
      <c r="A168" t="s">
        <v>232</v>
      </c>
      <c r="B168" t="s">
        <v>32</v>
      </c>
      <c r="C168" s="1">
        <v>45658</v>
      </c>
      <c r="D168" t="s">
        <v>82</v>
      </c>
      <c r="E168" t="s">
        <v>121</v>
      </c>
      <c r="F168">
        <v>754</v>
      </c>
      <c r="G168">
        <v>197</v>
      </c>
      <c r="H168">
        <v>257</v>
      </c>
      <c r="I168">
        <v>6786</v>
      </c>
      <c r="J168">
        <v>6221</v>
      </c>
      <c r="K168">
        <v>212</v>
      </c>
      <c r="L168" t="s">
        <v>53</v>
      </c>
      <c r="M168" t="s">
        <v>15</v>
      </c>
      <c r="N168" s="2">
        <f>(Posts__2[[#This Row],[Likes]]+Posts__2[[#This Row],[Shares]]+Posts__2[[#This Row],[Comments]])/Posts__2[[#This Row],[Impressions]]</f>
        <v>0.17801355732390214</v>
      </c>
      <c r="O168" s="7">
        <f>Posts__2[[#This Row],[Likes]]+Posts__2[[#This Row],[Shares]]+Posts__2[[#This Row],[Comments]]</f>
        <v>1208</v>
      </c>
      <c r="P168" s="7">
        <f>_xlfn.XLOOKUP(Posts__2[[#This Row],[Platform]],'Engagement Summary'!B:B,'Engagement Summary'!G:G,"NA",0)</f>
        <v>26752</v>
      </c>
      <c r="Q168" t="str">
        <f>IFERROR(IF(C168 &lt; _xlfn.XLOOKUP(M168, 'Campaign Metadata'!A:A, 'Campaign Metadata'!B:B), "Before", "During"), "Not Found")</f>
        <v>During</v>
      </c>
      <c r="R168" s="13">
        <f>Posts__2[[#This Row],[Engagement]]/Posts__2[[#This Row],[Ad Spend]]</f>
        <v>4.5155502392344497E-2</v>
      </c>
    </row>
    <row r="169" spans="1:18" x14ac:dyDescent="0.3">
      <c r="A169" t="s">
        <v>233</v>
      </c>
      <c r="B169" t="s">
        <v>30</v>
      </c>
      <c r="C169" s="1">
        <v>45574</v>
      </c>
      <c r="D169" t="s">
        <v>63</v>
      </c>
      <c r="E169" t="s">
        <v>91</v>
      </c>
      <c r="F169">
        <v>985</v>
      </c>
      <c r="G169">
        <v>932</v>
      </c>
      <c r="H169">
        <v>287</v>
      </c>
      <c r="I169">
        <v>6895</v>
      </c>
      <c r="J169">
        <v>6757</v>
      </c>
      <c r="K169">
        <v>64</v>
      </c>
      <c r="L169" t="s">
        <v>48</v>
      </c>
      <c r="M169" t="s">
        <v>19</v>
      </c>
      <c r="N169" s="2">
        <f>(Posts__2[[#This Row],[Likes]]+Posts__2[[#This Row],[Shares]]+Posts__2[[#This Row],[Comments]])/Posts__2[[#This Row],[Impressions]]</f>
        <v>0.31965192168237855</v>
      </c>
      <c r="O169" s="7">
        <f>Posts__2[[#This Row],[Likes]]+Posts__2[[#This Row],[Shares]]+Posts__2[[#This Row],[Comments]]</f>
        <v>2204</v>
      </c>
      <c r="P169" s="7">
        <f>_xlfn.XLOOKUP(Posts__2[[#This Row],[Platform]],'Engagement Summary'!B:B,'Engagement Summary'!G:G,"NA",0)</f>
        <v>5904</v>
      </c>
      <c r="Q169" t="str">
        <f>IFERROR(IF(C169 &lt; _xlfn.XLOOKUP(M169, 'Campaign Metadata'!A:A, 'Campaign Metadata'!B:B), "Before", "During"), "Not Found")</f>
        <v>Before</v>
      </c>
      <c r="R169" s="13">
        <f>Posts__2[[#This Row],[Engagement]]/Posts__2[[#This Row],[Ad Spend]]</f>
        <v>0.37330623306233063</v>
      </c>
    </row>
    <row r="170" spans="1:18" x14ac:dyDescent="0.3">
      <c r="A170" t="s">
        <v>234</v>
      </c>
      <c r="B170" t="s">
        <v>33</v>
      </c>
      <c r="C170" s="1">
        <v>45647</v>
      </c>
      <c r="D170" t="s">
        <v>68</v>
      </c>
      <c r="E170" t="s">
        <v>69</v>
      </c>
      <c r="F170">
        <v>2283</v>
      </c>
      <c r="G170">
        <v>210</v>
      </c>
      <c r="H170">
        <v>130</v>
      </c>
      <c r="I170">
        <v>22830</v>
      </c>
      <c r="J170">
        <v>22617</v>
      </c>
      <c r="K170">
        <v>143</v>
      </c>
      <c r="L170" t="s">
        <v>48</v>
      </c>
      <c r="M170" t="s">
        <v>11</v>
      </c>
      <c r="N170" s="2">
        <f>(Posts__2[[#This Row],[Likes]]+Posts__2[[#This Row],[Shares]]+Posts__2[[#This Row],[Comments]])/Posts__2[[#This Row],[Impressions]]</f>
        <v>0.11489268506351293</v>
      </c>
      <c r="O170" s="7">
        <f>Posts__2[[#This Row],[Likes]]+Posts__2[[#This Row],[Shares]]+Posts__2[[#This Row],[Comments]]</f>
        <v>2623</v>
      </c>
      <c r="P170" s="7">
        <f>_xlfn.XLOOKUP(Posts__2[[#This Row],[Platform]],'Engagement Summary'!B:B,'Engagement Summary'!G:G,"NA",0)</f>
        <v>30671</v>
      </c>
      <c r="Q170" t="str">
        <f>IFERROR(IF(C170 &lt; _xlfn.XLOOKUP(M170, 'Campaign Metadata'!A:A, 'Campaign Metadata'!B:B), "Before", "During"), "Not Found")</f>
        <v>During</v>
      </c>
      <c r="R170" s="13">
        <f>Posts__2[[#This Row],[Engagement]]/Posts__2[[#This Row],[Ad Spend]]</f>
        <v>8.5520524273743931E-2</v>
      </c>
    </row>
    <row r="171" spans="1:18" x14ac:dyDescent="0.3">
      <c r="A171" t="s">
        <v>235</v>
      </c>
      <c r="B171" t="s">
        <v>31</v>
      </c>
      <c r="C171" s="1">
        <v>45587</v>
      </c>
      <c r="D171" t="s">
        <v>63</v>
      </c>
      <c r="E171" t="s">
        <v>64</v>
      </c>
      <c r="F171">
        <v>3352</v>
      </c>
      <c r="G171">
        <v>941</v>
      </c>
      <c r="H171">
        <v>482</v>
      </c>
      <c r="I171">
        <v>43576</v>
      </c>
      <c r="J171">
        <v>43338</v>
      </c>
      <c r="K171">
        <v>240</v>
      </c>
      <c r="L171" t="s">
        <v>48</v>
      </c>
      <c r="M171" t="s">
        <v>11</v>
      </c>
      <c r="N171" s="2">
        <f>(Posts__2[[#This Row],[Likes]]+Posts__2[[#This Row],[Shares]]+Posts__2[[#This Row],[Comments]])/Posts__2[[#This Row],[Impressions]]</f>
        <v>0.1095786671562328</v>
      </c>
      <c r="O171" s="7">
        <f>Posts__2[[#This Row],[Likes]]+Posts__2[[#This Row],[Shares]]+Posts__2[[#This Row],[Comments]]</f>
        <v>4775</v>
      </c>
      <c r="P171" s="7">
        <f>_xlfn.XLOOKUP(Posts__2[[#This Row],[Platform]],'Engagement Summary'!B:B,'Engagement Summary'!G:G,"NA",0)</f>
        <v>9566</v>
      </c>
      <c r="Q171" t="str">
        <f>IFERROR(IF(C171 &lt; _xlfn.XLOOKUP(M171, 'Campaign Metadata'!A:A, 'Campaign Metadata'!B:B), "Before", "During"), "Not Found")</f>
        <v>During</v>
      </c>
      <c r="R171" s="13">
        <f>Posts__2[[#This Row],[Engagement]]/Posts__2[[#This Row],[Ad Spend]]</f>
        <v>0.4991637047877901</v>
      </c>
    </row>
    <row r="172" spans="1:18" x14ac:dyDescent="0.3">
      <c r="A172" t="s">
        <v>236</v>
      </c>
      <c r="B172" t="s">
        <v>33</v>
      </c>
      <c r="C172" s="1">
        <v>45496</v>
      </c>
      <c r="D172" t="s">
        <v>58</v>
      </c>
      <c r="E172" t="s">
        <v>127</v>
      </c>
      <c r="F172">
        <v>4775</v>
      </c>
      <c r="G172">
        <v>173</v>
      </c>
      <c r="H172">
        <v>206</v>
      </c>
      <c r="I172">
        <v>47750</v>
      </c>
      <c r="J172">
        <v>47544</v>
      </c>
      <c r="K172">
        <v>187</v>
      </c>
      <c r="L172" t="s">
        <v>48</v>
      </c>
      <c r="M172" t="s">
        <v>11</v>
      </c>
      <c r="N172" s="2">
        <f>(Posts__2[[#This Row],[Likes]]+Posts__2[[#This Row],[Shares]]+Posts__2[[#This Row],[Comments]])/Posts__2[[#This Row],[Impressions]]</f>
        <v>0.10793717277486911</v>
      </c>
      <c r="O172" s="7">
        <f>Posts__2[[#This Row],[Likes]]+Posts__2[[#This Row],[Shares]]+Posts__2[[#This Row],[Comments]]</f>
        <v>5154</v>
      </c>
      <c r="P172" s="7">
        <f>_xlfn.XLOOKUP(Posts__2[[#This Row],[Platform]],'Engagement Summary'!B:B,'Engagement Summary'!G:G,"NA",0)</f>
        <v>30671</v>
      </c>
      <c r="Q172" t="str">
        <f>IFERROR(IF(C172 &lt; _xlfn.XLOOKUP(M172, 'Campaign Metadata'!A:A, 'Campaign Metadata'!B:B), "Before", "During"), "Not Found")</f>
        <v>Before</v>
      </c>
      <c r="R172" s="13">
        <f>Posts__2[[#This Row],[Engagement]]/Posts__2[[#This Row],[Ad Spend]]</f>
        <v>0.16804147240063905</v>
      </c>
    </row>
    <row r="173" spans="1:18" x14ac:dyDescent="0.3">
      <c r="A173" t="s">
        <v>237</v>
      </c>
      <c r="B173" t="s">
        <v>30</v>
      </c>
      <c r="C173" s="1">
        <v>45515</v>
      </c>
      <c r="D173" t="s">
        <v>58</v>
      </c>
      <c r="E173" t="s">
        <v>59</v>
      </c>
      <c r="F173">
        <v>1762</v>
      </c>
      <c r="G173">
        <v>405</v>
      </c>
      <c r="H173">
        <v>423</v>
      </c>
      <c r="I173">
        <v>22906</v>
      </c>
      <c r="J173">
        <v>21925</v>
      </c>
      <c r="K173">
        <v>25</v>
      </c>
      <c r="L173" t="s">
        <v>53</v>
      </c>
      <c r="M173" t="s">
        <v>7</v>
      </c>
      <c r="N173" s="2">
        <f>(Posts__2[[#This Row],[Likes]]+Posts__2[[#This Row],[Shares]]+Posts__2[[#This Row],[Comments]])/Posts__2[[#This Row],[Impressions]]</f>
        <v>0.11307081114118571</v>
      </c>
      <c r="O173" s="7">
        <f>Posts__2[[#This Row],[Likes]]+Posts__2[[#This Row],[Shares]]+Posts__2[[#This Row],[Comments]]</f>
        <v>2590</v>
      </c>
      <c r="P173" s="7">
        <f>_xlfn.XLOOKUP(Posts__2[[#This Row],[Platform]],'Engagement Summary'!B:B,'Engagement Summary'!G:G,"NA",0)</f>
        <v>5904</v>
      </c>
      <c r="Q173" t="str">
        <f>IFERROR(IF(C173 &lt; _xlfn.XLOOKUP(M173, 'Campaign Metadata'!A:A, 'Campaign Metadata'!B:B), "Before", "During"), "Not Found")</f>
        <v>During</v>
      </c>
      <c r="R173" s="13">
        <f>Posts__2[[#This Row],[Engagement]]/Posts__2[[#This Row],[Ad Spend]]</f>
        <v>0.43868563685636858</v>
      </c>
    </row>
    <row r="174" spans="1:18" x14ac:dyDescent="0.3">
      <c r="A174" t="s">
        <v>238</v>
      </c>
      <c r="B174" t="s">
        <v>31</v>
      </c>
      <c r="C174" s="1">
        <v>45621</v>
      </c>
      <c r="D174" t="s">
        <v>58</v>
      </c>
      <c r="E174" t="s">
        <v>80</v>
      </c>
      <c r="F174">
        <v>2120</v>
      </c>
      <c r="G174">
        <v>158</v>
      </c>
      <c r="H174">
        <v>488</v>
      </c>
      <c r="I174">
        <v>12720</v>
      </c>
      <c r="J174">
        <v>12085</v>
      </c>
      <c r="K174">
        <v>17</v>
      </c>
      <c r="L174" t="s">
        <v>48</v>
      </c>
      <c r="M174" t="s">
        <v>11</v>
      </c>
      <c r="N174" s="2">
        <f>(Posts__2[[#This Row],[Likes]]+Posts__2[[#This Row],[Shares]]+Posts__2[[#This Row],[Comments]])/Posts__2[[#This Row],[Impressions]]</f>
        <v>0.21745283018867925</v>
      </c>
      <c r="O174" s="7">
        <f>Posts__2[[#This Row],[Likes]]+Posts__2[[#This Row],[Shares]]+Posts__2[[#This Row],[Comments]]</f>
        <v>2766</v>
      </c>
      <c r="P174" s="7">
        <f>_xlfn.XLOOKUP(Posts__2[[#This Row],[Platform]],'Engagement Summary'!B:B,'Engagement Summary'!G:G,"NA",0)</f>
        <v>9566</v>
      </c>
      <c r="Q174" t="str">
        <f>IFERROR(IF(C174 &lt; _xlfn.XLOOKUP(M174, 'Campaign Metadata'!A:A, 'Campaign Metadata'!B:B), "Before", "During"), "Not Found")</f>
        <v>During</v>
      </c>
      <c r="R174" s="13">
        <f>Posts__2[[#This Row],[Engagement]]/Posts__2[[#This Row],[Ad Spend]]</f>
        <v>0.28914906962157644</v>
      </c>
    </row>
    <row r="175" spans="1:18" x14ac:dyDescent="0.3">
      <c r="A175" t="s">
        <v>239</v>
      </c>
      <c r="B175" t="s">
        <v>32</v>
      </c>
      <c r="C175" s="1">
        <v>45528</v>
      </c>
      <c r="D175" t="s">
        <v>82</v>
      </c>
      <c r="E175" t="s">
        <v>121</v>
      </c>
      <c r="F175">
        <v>1082</v>
      </c>
      <c r="G175">
        <v>209</v>
      </c>
      <c r="H175">
        <v>484</v>
      </c>
      <c r="I175">
        <v>19476</v>
      </c>
      <c r="J175">
        <v>18654</v>
      </c>
      <c r="K175">
        <v>20</v>
      </c>
      <c r="L175" t="s">
        <v>53</v>
      </c>
      <c r="M175" t="s">
        <v>380</v>
      </c>
      <c r="N175" s="2">
        <f>(Posts__2[[#This Row],[Likes]]+Posts__2[[#This Row],[Shares]]+Posts__2[[#This Row],[Comments]])/Posts__2[[#This Row],[Impressions]]</f>
        <v>9.1137810638734856E-2</v>
      </c>
      <c r="O175" s="7">
        <f>Posts__2[[#This Row],[Likes]]+Posts__2[[#This Row],[Shares]]+Posts__2[[#This Row],[Comments]]</f>
        <v>1775</v>
      </c>
      <c r="P175" s="7">
        <f>_xlfn.XLOOKUP(Posts__2[[#This Row],[Platform]],'Engagement Summary'!B:B,'Engagement Summary'!G:G,"NA",0)</f>
        <v>26752</v>
      </c>
      <c r="Q175" t="str">
        <f>IFERROR(IF(C175 &lt; _xlfn.XLOOKUP(M175, 'Campaign Metadata'!A:A, 'Campaign Metadata'!B:B), "Before", "During"), "Not Found")</f>
        <v>Not Found</v>
      </c>
      <c r="R175" s="13">
        <f>Posts__2[[#This Row],[Engagement]]/Posts__2[[#This Row],[Ad Spend]]</f>
        <v>6.6350179425837319E-2</v>
      </c>
    </row>
    <row r="176" spans="1:18" x14ac:dyDescent="0.3">
      <c r="A176" t="s">
        <v>240</v>
      </c>
      <c r="B176" t="s">
        <v>32</v>
      </c>
      <c r="C176" s="1">
        <v>45707</v>
      </c>
      <c r="D176" t="s">
        <v>51</v>
      </c>
      <c r="E176" t="s">
        <v>52</v>
      </c>
      <c r="F176">
        <v>4671</v>
      </c>
      <c r="G176">
        <v>876</v>
      </c>
      <c r="H176">
        <v>366</v>
      </c>
      <c r="I176">
        <v>51381</v>
      </c>
      <c r="J176">
        <v>50565</v>
      </c>
      <c r="K176">
        <v>245</v>
      </c>
      <c r="L176" t="s">
        <v>53</v>
      </c>
      <c r="M176" t="s">
        <v>19</v>
      </c>
      <c r="N176" s="2">
        <f>(Posts__2[[#This Row],[Likes]]+Posts__2[[#This Row],[Shares]]+Posts__2[[#This Row],[Comments]])/Posts__2[[#This Row],[Impressions]]</f>
        <v>0.11508145034156594</v>
      </c>
      <c r="O176" s="7">
        <f>Posts__2[[#This Row],[Likes]]+Posts__2[[#This Row],[Shares]]+Posts__2[[#This Row],[Comments]]</f>
        <v>5913</v>
      </c>
      <c r="P176" s="7">
        <f>_xlfn.XLOOKUP(Posts__2[[#This Row],[Platform]],'Engagement Summary'!B:B,'Engagement Summary'!G:G,"NA",0)</f>
        <v>26752</v>
      </c>
      <c r="Q176" t="str">
        <f>IFERROR(IF(C176 &lt; _xlfn.XLOOKUP(M176, 'Campaign Metadata'!A:A, 'Campaign Metadata'!B:B), "Before", "During"), "Not Found")</f>
        <v>Before</v>
      </c>
      <c r="R176" s="13">
        <f>Posts__2[[#This Row],[Engagement]]/Posts__2[[#This Row],[Ad Spend]]</f>
        <v>0.22103020334928231</v>
      </c>
    </row>
    <row r="177" spans="1:18" x14ac:dyDescent="0.3">
      <c r="A177" t="s">
        <v>241</v>
      </c>
      <c r="B177" t="s">
        <v>31</v>
      </c>
      <c r="C177" s="1">
        <v>45748</v>
      </c>
      <c r="D177" t="s">
        <v>58</v>
      </c>
      <c r="E177" t="s">
        <v>80</v>
      </c>
      <c r="F177">
        <v>3430</v>
      </c>
      <c r="G177">
        <v>566</v>
      </c>
      <c r="H177">
        <v>164</v>
      </c>
      <c r="I177">
        <v>48020</v>
      </c>
      <c r="J177">
        <v>47305</v>
      </c>
      <c r="K177">
        <v>120</v>
      </c>
      <c r="L177" t="s">
        <v>48</v>
      </c>
      <c r="M177" t="s">
        <v>380</v>
      </c>
      <c r="N177" s="2">
        <f>(Posts__2[[#This Row],[Likes]]+Posts__2[[#This Row],[Shares]]+Posts__2[[#This Row],[Comments]])/Posts__2[[#This Row],[Impressions]]</f>
        <v>8.6630570595585168E-2</v>
      </c>
      <c r="O177" s="7">
        <f>Posts__2[[#This Row],[Likes]]+Posts__2[[#This Row],[Shares]]+Posts__2[[#This Row],[Comments]]</f>
        <v>4160</v>
      </c>
      <c r="P177" s="7">
        <f>_xlfn.XLOOKUP(Posts__2[[#This Row],[Platform]],'Engagement Summary'!B:B,'Engagement Summary'!G:G,"NA",0)</f>
        <v>9566</v>
      </c>
      <c r="Q177" t="str">
        <f>IFERROR(IF(C177 &lt; _xlfn.XLOOKUP(M177, 'Campaign Metadata'!A:A, 'Campaign Metadata'!B:B), "Before", "During"), "Not Found")</f>
        <v>Not Found</v>
      </c>
      <c r="R177" s="13">
        <f>Posts__2[[#This Row],[Engagement]]/Posts__2[[#This Row],[Ad Spend]]</f>
        <v>0.43487351034915323</v>
      </c>
    </row>
    <row r="178" spans="1:18" x14ac:dyDescent="0.3">
      <c r="A178" t="s">
        <v>242</v>
      </c>
      <c r="B178" t="s">
        <v>30</v>
      </c>
      <c r="C178" s="1">
        <v>45755</v>
      </c>
      <c r="D178" t="s">
        <v>68</v>
      </c>
      <c r="E178" t="s">
        <v>160</v>
      </c>
      <c r="F178">
        <v>4501</v>
      </c>
      <c r="G178">
        <v>375</v>
      </c>
      <c r="H178">
        <v>323</v>
      </c>
      <c r="I178">
        <v>22505</v>
      </c>
      <c r="J178">
        <v>21836</v>
      </c>
      <c r="K178">
        <v>132</v>
      </c>
      <c r="L178" t="s">
        <v>53</v>
      </c>
      <c r="M178" t="s">
        <v>11</v>
      </c>
      <c r="N178" s="2">
        <f>(Posts__2[[#This Row],[Likes]]+Posts__2[[#This Row],[Shares]]+Posts__2[[#This Row],[Comments]])/Posts__2[[#This Row],[Impressions]]</f>
        <v>0.23101532992668297</v>
      </c>
      <c r="O178" s="7">
        <f>Posts__2[[#This Row],[Likes]]+Posts__2[[#This Row],[Shares]]+Posts__2[[#This Row],[Comments]]</f>
        <v>5199</v>
      </c>
      <c r="P178" s="7">
        <f>_xlfn.XLOOKUP(Posts__2[[#This Row],[Platform]],'Engagement Summary'!B:B,'Engagement Summary'!G:G,"NA",0)</f>
        <v>5904</v>
      </c>
      <c r="Q178" t="str">
        <f>IFERROR(IF(C178 &lt; _xlfn.XLOOKUP(M178, 'Campaign Metadata'!A:A, 'Campaign Metadata'!B:B), "Before", "During"), "Not Found")</f>
        <v>During</v>
      </c>
      <c r="R178" s="13">
        <f>Posts__2[[#This Row],[Engagement]]/Posts__2[[#This Row],[Ad Spend]]</f>
        <v>0.88058943089430897</v>
      </c>
    </row>
    <row r="179" spans="1:18" x14ac:dyDescent="0.3">
      <c r="A179" t="s">
        <v>243</v>
      </c>
      <c r="B179" t="s">
        <v>33</v>
      </c>
      <c r="C179" s="1">
        <v>45715</v>
      </c>
      <c r="D179" t="s">
        <v>51</v>
      </c>
      <c r="E179" t="s">
        <v>99</v>
      </c>
      <c r="F179">
        <v>4934</v>
      </c>
      <c r="G179">
        <v>971</v>
      </c>
      <c r="H179">
        <v>156</v>
      </c>
      <c r="I179">
        <v>39472</v>
      </c>
      <c r="J179">
        <v>39025</v>
      </c>
      <c r="K179">
        <v>169</v>
      </c>
      <c r="L179" t="s">
        <v>53</v>
      </c>
      <c r="M179" t="s">
        <v>19</v>
      </c>
      <c r="N179" s="2">
        <f>(Posts__2[[#This Row],[Likes]]+Posts__2[[#This Row],[Shares]]+Posts__2[[#This Row],[Comments]])/Posts__2[[#This Row],[Impressions]]</f>
        <v>0.15355188488042157</v>
      </c>
      <c r="O179" s="7">
        <f>Posts__2[[#This Row],[Likes]]+Posts__2[[#This Row],[Shares]]+Posts__2[[#This Row],[Comments]]</f>
        <v>6061</v>
      </c>
      <c r="P179" s="7">
        <f>_xlfn.XLOOKUP(Posts__2[[#This Row],[Platform]],'Engagement Summary'!B:B,'Engagement Summary'!G:G,"NA",0)</f>
        <v>30671</v>
      </c>
      <c r="Q179" t="str">
        <f>IFERROR(IF(C179 &lt; _xlfn.XLOOKUP(M179, 'Campaign Metadata'!A:A, 'Campaign Metadata'!B:B), "Before", "During"), "Not Found")</f>
        <v>Before</v>
      </c>
      <c r="R179" s="13">
        <f>Posts__2[[#This Row],[Engagement]]/Posts__2[[#This Row],[Ad Spend]]</f>
        <v>0.19761338071794202</v>
      </c>
    </row>
    <row r="180" spans="1:18" x14ac:dyDescent="0.3">
      <c r="A180" t="s">
        <v>243</v>
      </c>
      <c r="B180" t="s">
        <v>33</v>
      </c>
      <c r="C180" s="1">
        <v>45715</v>
      </c>
      <c r="D180" t="s">
        <v>51</v>
      </c>
      <c r="E180" t="s">
        <v>99</v>
      </c>
      <c r="F180">
        <v>4934</v>
      </c>
      <c r="G180">
        <v>971</v>
      </c>
      <c r="H180">
        <v>156</v>
      </c>
      <c r="I180">
        <v>39472</v>
      </c>
      <c r="J180">
        <v>39025</v>
      </c>
      <c r="K180">
        <v>169</v>
      </c>
      <c r="L180" t="s">
        <v>49</v>
      </c>
      <c r="M180" t="s">
        <v>19</v>
      </c>
      <c r="N180" s="2">
        <f>(Posts__2[[#This Row],[Likes]]+Posts__2[[#This Row],[Shares]]+Posts__2[[#This Row],[Comments]])/Posts__2[[#This Row],[Impressions]]</f>
        <v>0.15355188488042157</v>
      </c>
      <c r="O180" s="7">
        <f>Posts__2[[#This Row],[Likes]]+Posts__2[[#This Row],[Shares]]+Posts__2[[#This Row],[Comments]]</f>
        <v>6061</v>
      </c>
      <c r="P180" s="7">
        <f>_xlfn.XLOOKUP(Posts__2[[#This Row],[Platform]],'Engagement Summary'!B:B,'Engagement Summary'!G:G,"NA",0)</f>
        <v>30671</v>
      </c>
      <c r="Q180" t="str">
        <f>IFERROR(IF(C180 &lt; _xlfn.XLOOKUP(M180, 'Campaign Metadata'!A:A, 'Campaign Metadata'!B:B), "Before", "During"), "Not Found")</f>
        <v>Before</v>
      </c>
      <c r="R180" s="13">
        <f>Posts__2[[#This Row],[Engagement]]/Posts__2[[#This Row],[Ad Spend]]</f>
        <v>0.19761338071794202</v>
      </c>
    </row>
    <row r="181" spans="1:18" x14ac:dyDescent="0.3">
      <c r="A181" t="s">
        <v>244</v>
      </c>
      <c r="B181" t="s">
        <v>32</v>
      </c>
      <c r="C181" s="1">
        <v>45637</v>
      </c>
      <c r="D181" t="s">
        <v>51</v>
      </c>
      <c r="E181" t="s">
        <v>52</v>
      </c>
      <c r="F181">
        <v>3239</v>
      </c>
      <c r="G181">
        <v>43</v>
      </c>
      <c r="H181">
        <v>211</v>
      </c>
      <c r="I181">
        <v>22673</v>
      </c>
      <c r="J181">
        <v>22171</v>
      </c>
      <c r="K181">
        <v>230</v>
      </c>
      <c r="L181" t="s">
        <v>53</v>
      </c>
      <c r="M181" t="s">
        <v>11</v>
      </c>
      <c r="N181" s="2">
        <f>(Posts__2[[#This Row],[Likes]]+Posts__2[[#This Row],[Shares]]+Posts__2[[#This Row],[Comments]])/Posts__2[[#This Row],[Impressions]]</f>
        <v>0.15405989502933004</v>
      </c>
      <c r="O181" s="7">
        <f>Posts__2[[#This Row],[Likes]]+Posts__2[[#This Row],[Shares]]+Posts__2[[#This Row],[Comments]]</f>
        <v>3493</v>
      </c>
      <c r="P181" s="7">
        <f>_xlfn.XLOOKUP(Posts__2[[#This Row],[Platform]],'Engagement Summary'!B:B,'Engagement Summary'!G:G,"NA",0)</f>
        <v>26752</v>
      </c>
      <c r="Q181" t="str">
        <f>IFERROR(IF(C181 &lt; _xlfn.XLOOKUP(M181, 'Campaign Metadata'!A:A, 'Campaign Metadata'!B:B), "Before", "During"), "Not Found")</f>
        <v>During</v>
      </c>
      <c r="R181" s="13">
        <f>Posts__2[[#This Row],[Engagement]]/Posts__2[[#This Row],[Ad Spend]]</f>
        <v>0.13056967703349281</v>
      </c>
    </row>
    <row r="182" spans="1:18" x14ac:dyDescent="0.3">
      <c r="A182" t="s">
        <v>245</v>
      </c>
      <c r="B182" t="s">
        <v>32</v>
      </c>
      <c r="C182" s="1">
        <v>45704</v>
      </c>
      <c r="D182" t="s">
        <v>46</v>
      </c>
      <c r="E182" t="s">
        <v>47</v>
      </c>
      <c r="F182">
        <v>1076</v>
      </c>
      <c r="G182">
        <v>313</v>
      </c>
      <c r="H182">
        <v>306</v>
      </c>
      <c r="I182">
        <v>11836</v>
      </c>
      <c r="J182">
        <v>11596</v>
      </c>
      <c r="K182">
        <v>104</v>
      </c>
      <c r="L182" t="s">
        <v>48</v>
      </c>
      <c r="M182" t="s">
        <v>7</v>
      </c>
      <c r="N182" s="2">
        <f>(Posts__2[[#This Row],[Likes]]+Posts__2[[#This Row],[Shares]]+Posts__2[[#This Row],[Comments]])/Posts__2[[#This Row],[Impressions]]</f>
        <v>0.14320716458262928</v>
      </c>
      <c r="O182" s="7">
        <f>Posts__2[[#This Row],[Likes]]+Posts__2[[#This Row],[Shares]]+Posts__2[[#This Row],[Comments]]</f>
        <v>1695</v>
      </c>
      <c r="P182" s="7">
        <f>_xlfn.XLOOKUP(Posts__2[[#This Row],[Platform]],'Engagement Summary'!B:B,'Engagement Summary'!G:G,"NA",0)</f>
        <v>26752</v>
      </c>
      <c r="Q182" t="str">
        <f>IFERROR(IF(C182 &lt; _xlfn.XLOOKUP(M182, 'Campaign Metadata'!A:A, 'Campaign Metadata'!B:B), "Before", "During"), "Not Found")</f>
        <v>During</v>
      </c>
      <c r="R182" s="13">
        <f>Posts__2[[#This Row],[Engagement]]/Posts__2[[#This Row],[Ad Spend]]</f>
        <v>6.3359748803827748E-2</v>
      </c>
    </row>
    <row r="183" spans="1:18" x14ac:dyDescent="0.3">
      <c r="A183" t="s">
        <v>246</v>
      </c>
      <c r="B183" t="s">
        <v>30</v>
      </c>
      <c r="C183" s="1">
        <v>45624</v>
      </c>
      <c r="D183" t="s">
        <v>51</v>
      </c>
      <c r="E183" t="s">
        <v>104</v>
      </c>
      <c r="F183">
        <v>4771</v>
      </c>
      <c r="G183">
        <v>818</v>
      </c>
      <c r="H183">
        <v>56</v>
      </c>
      <c r="I183">
        <v>57252</v>
      </c>
      <c r="J183">
        <v>56378</v>
      </c>
      <c r="K183">
        <v>150</v>
      </c>
      <c r="L183" t="s">
        <v>48</v>
      </c>
      <c r="M183" t="s">
        <v>380</v>
      </c>
      <c r="N183" s="2">
        <f>(Posts__2[[#This Row],[Likes]]+Posts__2[[#This Row],[Shares]]+Posts__2[[#This Row],[Comments]])/Posts__2[[#This Row],[Impressions]]</f>
        <v>9.859917557465242E-2</v>
      </c>
      <c r="O183" s="7">
        <f>Posts__2[[#This Row],[Likes]]+Posts__2[[#This Row],[Shares]]+Posts__2[[#This Row],[Comments]]</f>
        <v>5645</v>
      </c>
      <c r="P183" s="7">
        <f>_xlfn.XLOOKUP(Posts__2[[#This Row],[Platform]],'Engagement Summary'!B:B,'Engagement Summary'!G:G,"NA",0)</f>
        <v>5904</v>
      </c>
      <c r="Q183" t="str">
        <f>IFERROR(IF(C183 &lt; _xlfn.XLOOKUP(M183, 'Campaign Metadata'!A:A, 'Campaign Metadata'!B:B), "Before", "During"), "Not Found")</f>
        <v>Not Found</v>
      </c>
      <c r="R183" s="13">
        <f>Posts__2[[#This Row],[Engagement]]/Posts__2[[#This Row],[Ad Spend]]</f>
        <v>0.95613143631436315</v>
      </c>
    </row>
    <row r="184" spans="1:18" x14ac:dyDescent="0.3">
      <c r="A184" t="s">
        <v>247</v>
      </c>
      <c r="B184" t="s">
        <v>31</v>
      </c>
      <c r="C184" s="1">
        <v>45608</v>
      </c>
      <c r="D184" t="s">
        <v>51</v>
      </c>
      <c r="E184" t="s">
        <v>71</v>
      </c>
      <c r="F184">
        <v>2418</v>
      </c>
      <c r="G184">
        <v>754</v>
      </c>
      <c r="H184">
        <v>54</v>
      </c>
      <c r="I184">
        <v>43524</v>
      </c>
      <c r="J184">
        <v>42743</v>
      </c>
      <c r="K184">
        <v>182</v>
      </c>
      <c r="L184" t="s">
        <v>60</v>
      </c>
      <c r="M184" t="s">
        <v>7</v>
      </c>
      <c r="N184" s="2">
        <f>(Posts__2[[#This Row],[Likes]]+Posts__2[[#This Row],[Shares]]+Posts__2[[#This Row],[Comments]])/Posts__2[[#This Row],[Impressions]]</f>
        <v>7.412002573292896E-2</v>
      </c>
      <c r="O184" s="7">
        <f>Posts__2[[#This Row],[Likes]]+Posts__2[[#This Row],[Shares]]+Posts__2[[#This Row],[Comments]]</f>
        <v>3226</v>
      </c>
      <c r="P184" s="7">
        <f>_xlfn.XLOOKUP(Posts__2[[#This Row],[Platform]],'Engagement Summary'!B:B,'Engagement Summary'!G:G,"NA",0)</f>
        <v>9566</v>
      </c>
      <c r="Q184" t="str">
        <f>IFERROR(IF(C184 &lt; _xlfn.XLOOKUP(M184, 'Campaign Metadata'!A:A, 'Campaign Metadata'!B:B), "Before", "During"), "Not Found")</f>
        <v>During</v>
      </c>
      <c r="R184" s="13">
        <f>Posts__2[[#This Row],[Engagement]]/Posts__2[[#This Row],[Ad Spend]]</f>
        <v>0.33723604432364623</v>
      </c>
    </row>
    <row r="185" spans="1:18" x14ac:dyDescent="0.3">
      <c r="A185" t="s">
        <v>248</v>
      </c>
      <c r="B185" t="s">
        <v>33</v>
      </c>
      <c r="C185" s="1">
        <v>45629</v>
      </c>
      <c r="D185" t="s">
        <v>82</v>
      </c>
      <c r="E185" t="s">
        <v>162</v>
      </c>
      <c r="F185">
        <v>3809</v>
      </c>
      <c r="G185">
        <v>273</v>
      </c>
      <c r="H185">
        <v>200</v>
      </c>
      <c r="I185">
        <v>34281</v>
      </c>
      <c r="J185">
        <v>33534</v>
      </c>
      <c r="K185">
        <v>83</v>
      </c>
      <c r="L185" t="s">
        <v>60</v>
      </c>
      <c r="M185" t="s">
        <v>7</v>
      </c>
      <c r="N185" s="2">
        <f>(Posts__2[[#This Row],[Likes]]+Posts__2[[#This Row],[Shares]]+Posts__2[[#This Row],[Comments]])/Posts__2[[#This Row],[Impressions]]</f>
        <v>0.12490884163239112</v>
      </c>
      <c r="O185" s="7">
        <f>Posts__2[[#This Row],[Likes]]+Posts__2[[#This Row],[Shares]]+Posts__2[[#This Row],[Comments]]</f>
        <v>4282</v>
      </c>
      <c r="P185" s="7">
        <f>_xlfn.XLOOKUP(Posts__2[[#This Row],[Platform]],'Engagement Summary'!B:B,'Engagement Summary'!G:G,"NA",0)</f>
        <v>30671</v>
      </c>
      <c r="Q185" t="str">
        <f>IFERROR(IF(C185 &lt; _xlfn.XLOOKUP(M185, 'Campaign Metadata'!A:A, 'Campaign Metadata'!B:B), "Before", "During"), "Not Found")</f>
        <v>During</v>
      </c>
      <c r="R185" s="13">
        <f>Posts__2[[#This Row],[Engagement]]/Posts__2[[#This Row],[Ad Spend]]</f>
        <v>0.1396107071826807</v>
      </c>
    </row>
    <row r="186" spans="1:18" x14ac:dyDescent="0.3">
      <c r="A186" t="s">
        <v>249</v>
      </c>
      <c r="B186" t="s">
        <v>32</v>
      </c>
      <c r="C186" s="1">
        <v>45775</v>
      </c>
      <c r="D186" t="s">
        <v>51</v>
      </c>
      <c r="E186" t="s">
        <v>52</v>
      </c>
      <c r="F186">
        <v>3577</v>
      </c>
      <c r="G186">
        <v>596</v>
      </c>
      <c r="H186">
        <v>493</v>
      </c>
      <c r="I186">
        <v>67963</v>
      </c>
      <c r="J186">
        <v>67839</v>
      </c>
      <c r="K186">
        <v>53</v>
      </c>
      <c r="L186" t="s">
        <v>53</v>
      </c>
      <c r="M186" t="s">
        <v>15</v>
      </c>
      <c r="N186" s="2">
        <f>(Posts__2[[#This Row],[Likes]]+Posts__2[[#This Row],[Shares]]+Posts__2[[#This Row],[Comments]])/Posts__2[[#This Row],[Impressions]]</f>
        <v>6.8655003457763777E-2</v>
      </c>
      <c r="O186" s="7">
        <f>Posts__2[[#This Row],[Likes]]+Posts__2[[#This Row],[Shares]]+Posts__2[[#This Row],[Comments]]</f>
        <v>4666</v>
      </c>
      <c r="P186" s="7">
        <f>_xlfn.XLOOKUP(Posts__2[[#This Row],[Platform]],'Engagement Summary'!B:B,'Engagement Summary'!G:G,"NA",0)</f>
        <v>26752</v>
      </c>
      <c r="Q186" t="str">
        <f>IFERROR(IF(C186 &lt; _xlfn.XLOOKUP(M186, 'Campaign Metadata'!A:A, 'Campaign Metadata'!B:B), "Before", "During"), "Not Found")</f>
        <v>During</v>
      </c>
      <c r="R186" s="13">
        <f>Posts__2[[#This Row],[Engagement]]/Posts__2[[#This Row],[Ad Spend]]</f>
        <v>0.17441686602870812</v>
      </c>
    </row>
    <row r="187" spans="1:18" x14ac:dyDescent="0.3">
      <c r="A187" t="s">
        <v>250</v>
      </c>
      <c r="B187" t="s">
        <v>33</v>
      </c>
      <c r="C187" s="1">
        <v>45657</v>
      </c>
      <c r="D187" t="s">
        <v>82</v>
      </c>
      <c r="E187" t="s">
        <v>162</v>
      </c>
      <c r="F187">
        <v>1018</v>
      </c>
      <c r="G187">
        <v>447</v>
      </c>
      <c r="H187">
        <v>332</v>
      </c>
      <c r="I187">
        <v>18324</v>
      </c>
      <c r="J187">
        <v>18164</v>
      </c>
      <c r="K187">
        <v>38</v>
      </c>
      <c r="L187" t="s">
        <v>48</v>
      </c>
      <c r="M187" t="s">
        <v>11</v>
      </c>
      <c r="N187" s="2">
        <f>(Posts__2[[#This Row],[Likes]]+Posts__2[[#This Row],[Shares]]+Posts__2[[#This Row],[Comments]])/Posts__2[[#This Row],[Impressions]]</f>
        <v>9.8068107400130972E-2</v>
      </c>
      <c r="O187" s="7">
        <f>Posts__2[[#This Row],[Likes]]+Posts__2[[#This Row],[Shares]]+Posts__2[[#This Row],[Comments]]</f>
        <v>1797</v>
      </c>
      <c r="P187" s="7">
        <f>_xlfn.XLOOKUP(Posts__2[[#This Row],[Platform]],'Engagement Summary'!B:B,'Engagement Summary'!G:G,"NA",0)</f>
        <v>30671</v>
      </c>
      <c r="Q187" t="str">
        <f>IFERROR(IF(C187 &lt; _xlfn.XLOOKUP(M187, 'Campaign Metadata'!A:A, 'Campaign Metadata'!B:B), "Before", "During"), "Not Found")</f>
        <v>During</v>
      </c>
      <c r="R187" s="13">
        <f>Posts__2[[#This Row],[Engagement]]/Posts__2[[#This Row],[Ad Spend]]</f>
        <v>5.8589547129210003E-2</v>
      </c>
    </row>
    <row r="188" spans="1:18" x14ac:dyDescent="0.3">
      <c r="A188" t="s">
        <v>251</v>
      </c>
      <c r="B188" t="s">
        <v>31</v>
      </c>
      <c r="C188" s="1">
        <v>45518</v>
      </c>
      <c r="D188" t="s">
        <v>63</v>
      </c>
      <c r="E188" t="s">
        <v>64</v>
      </c>
      <c r="F188">
        <v>3073</v>
      </c>
      <c r="G188">
        <v>553</v>
      </c>
      <c r="H188">
        <v>174</v>
      </c>
      <c r="I188">
        <v>52241</v>
      </c>
      <c r="J188">
        <v>51605</v>
      </c>
      <c r="K188">
        <v>246</v>
      </c>
      <c r="L188" t="s">
        <v>60</v>
      </c>
      <c r="M188" t="s">
        <v>15</v>
      </c>
      <c r="N188" s="2">
        <f>(Posts__2[[#This Row],[Likes]]+Posts__2[[#This Row],[Shares]]+Posts__2[[#This Row],[Comments]])/Posts__2[[#This Row],[Impressions]]</f>
        <v>7.2739802071170159E-2</v>
      </c>
      <c r="O188" s="7">
        <f>Posts__2[[#This Row],[Likes]]+Posts__2[[#This Row],[Shares]]+Posts__2[[#This Row],[Comments]]</f>
        <v>3800</v>
      </c>
      <c r="P188" s="7">
        <f>_xlfn.XLOOKUP(Posts__2[[#This Row],[Platform]],'Engagement Summary'!B:B,'Engagement Summary'!G:G,"NA",0)</f>
        <v>9566</v>
      </c>
      <c r="Q188" t="str">
        <f>IFERROR(IF(C188 &lt; _xlfn.XLOOKUP(M188, 'Campaign Metadata'!A:A, 'Campaign Metadata'!B:B), "Before", "During"), "Not Found")</f>
        <v>Before</v>
      </c>
      <c r="R188" s="13">
        <f>Posts__2[[#This Row],[Engagement]]/Posts__2[[#This Row],[Ad Spend]]</f>
        <v>0.3972402257997073</v>
      </c>
    </row>
    <row r="189" spans="1:18" x14ac:dyDescent="0.3">
      <c r="A189" t="s">
        <v>252</v>
      </c>
      <c r="B189" t="s">
        <v>32</v>
      </c>
      <c r="C189" s="1">
        <v>45631</v>
      </c>
      <c r="D189" t="s">
        <v>82</v>
      </c>
      <c r="E189" t="s">
        <v>121</v>
      </c>
      <c r="F189">
        <v>1330</v>
      </c>
      <c r="G189">
        <v>925</v>
      </c>
      <c r="H189">
        <v>35</v>
      </c>
      <c r="I189">
        <v>15960</v>
      </c>
      <c r="J189">
        <v>15379</v>
      </c>
      <c r="K189">
        <v>229</v>
      </c>
      <c r="L189" t="s">
        <v>48</v>
      </c>
      <c r="M189" t="s">
        <v>15</v>
      </c>
      <c r="N189" s="2">
        <f>(Posts__2[[#This Row],[Likes]]+Posts__2[[#This Row],[Shares]]+Posts__2[[#This Row],[Comments]])/Posts__2[[#This Row],[Impressions]]</f>
        <v>0.14348370927318296</v>
      </c>
      <c r="O189" s="7">
        <f>Posts__2[[#This Row],[Likes]]+Posts__2[[#This Row],[Shares]]+Posts__2[[#This Row],[Comments]]</f>
        <v>2290</v>
      </c>
      <c r="P189" s="7">
        <f>_xlfn.XLOOKUP(Posts__2[[#This Row],[Platform]],'Engagement Summary'!B:B,'Engagement Summary'!G:G,"NA",0)</f>
        <v>26752</v>
      </c>
      <c r="Q189" t="str">
        <f>IFERROR(IF(C189 &lt; _xlfn.XLOOKUP(M189, 'Campaign Metadata'!A:A, 'Campaign Metadata'!B:B), "Before", "During"), "Not Found")</f>
        <v>Before</v>
      </c>
      <c r="R189" s="13">
        <f>Posts__2[[#This Row],[Engagement]]/Posts__2[[#This Row],[Ad Spend]]</f>
        <v>8.5601076555023928E-2</v>
      </c>
    </row>
    <row r="190" spans="1:18" x14ac:dyDescent="0.3">
      <c r="A190" t="s">
        <v>253</v>
      </c>
      <c r="B190" t="s">
        <v>31</v>
      </c>
      <c r="C190" s="1">
        <v>45465</v>
      </c>
      <c r="D190" t="s">
        <v>51</v>
      </c>
      <c r="E190" t="s">
        <v>71</v>
      </c>
      <c r="F190">
        <v>3828</v>
      </c>
      <c r="G190">
        <v>148</v>
      </c>
      <c r="H190">
        <v>253</v>
      </c>
      <c r="I190">
        <v>30624</v>
      </c>
      <c r="J190">
        <v>30229</v>
      </c>
      <c r="K190">
        <v>235</v>
      </c>
      <c r="L190" t="s">
        <v>60</v>
      </c>
      <c r="M190" t="s">
        <v>380</v>
      </c>
      <c r="N190" s="2">
        <f>(Posts__2[[#This Row],[Likes]]+Posts__2[[#This Row],[Shares]]+Posts__2[[#This Row],[Comments]])/Posts__2[[#This Row],[Impressions]]</f>
        <v>0.13809430512016718</v>
      </c>
      <c r="O190" s="7">
        <f>Posts__2[[#This Row],[Likes]]+Posts__2[[#This Row],[Shares]]+Posts__2[[#This Row],[Comments]]</f>
        <v>4229</v>
      </c>
      <c r="P190" s="7">
        <f>_xlfn.XLOOKUP(Posts__2[[#This Row],[Platform]],'Engagement Summary'!B:B,'Engagement Summary'!G:G,"NA",0)</f>
        <v>9566</v>
      </c>
      <c r="Q190" t="str">
        <f>IFERROR(IF(C190 &lt; _xlfn.XLOOKUP(M190, 'Campaign Metadata'!A:A, 'Campaign Metadata'!B:B), "Before", "During"), "Not Found")</f>
        <v>Not Found</v>
      </c>
      <c r="R190" s="13">
        <f>Posts__2[[#This Row],[Engagement]]/Posts__2[[#This Row],[Ad Spend]]</f>
        <v>0.44208655655446372</v>
      </c>
    </row>
    <row r="191" spans="1:18" x14ac:dyDescent="0.3">
      <c r="A191" t="s">
        <v>254</v>
      </c>
      <c r="B191" t="s">
        <v>30</v>
      </c>
      <c r="C191" s="1">
        <v>45674</v>
      </c>
      <c r="D191" t="s">
        <v>46</v>
      </c>
      <c r="E191" t="s">
        <v>87</v>
      </c>
      <c r="F191">
        <v>142</v>
      </c>
      <c r="G191">
        <v>784</v>
      </c>
      <c r="H191">
        <v>183</v>
      </c>
      <c r="I191">
        <v>1704</v>
      </c>
      <c r="J191">
        <v>995</v>
      </c>
      <c r="K191">
        <v>154</v>
      </c>
      <c r="L191" t="s">
        <v>48</v>
      </c>
      <c r="M191" t="s">
        <v>19</v>
      </c>
      <c r="N191" s="2">
        <f>(Posts__2[[#This Row],[Likes]]+Posts__2[[#This Row],[Shares]]+Posts__2[[#This Row],[Comments]])/Posts__2[[#This Row],[Impressions]]</f>
        <v>0.6508215962441315</v>
      </c>
      <c r="O191" s="7">
        <f>Posts__2[[#This Row],[Likes]]+Posts__2[[#This Row],[Shares]]+Posts__2[[#This Row],[Comments]]</f>
        <v>1109</v>
      </c>
      <c r="P191" s="7">
        <f>_xlfn.XLOOKUP(Posts__2[[#This Row],[Platform]],'Engagement Summary'!B:B,'Engagement Summary'!G:G,"NA",0)</f>
        <v>5904</v>
      </c>
      <c r="Q191" t="str">
        <f>IFERROR(IF(C191 &lt; _xlfn.XLOOKUP(M191, 'Campaign Metadata'!A:A, 'Campaign Metadata'!B:B), "Before", "During"), "Not Found")</f>
        <v>Before</v>
      </c>
      <c r="R191" s="13">
        <f>Posts__2[[#This Row],[Engagement]]/Posts__2[[#This Row],[Ad Spend]]</f>
        <v>0.18783875338753386</v>
      </c>
    </row>
    <row r="192" spans="1:18" x14ac:dyDescent="0.3">
      <c r="A192" t="s">
        <v>255</v>
      </c>
      <c r="B192" t="s">
        <v>31</v>
      </c>
      <c r="C192" s="1">
        <v>45463</v>
      </c>
      <c r="D192" t="s">
        <v>82</v>
      </c>
      <c r="E192" t="s">
        <v>83</v>
      </c>
      <c r="F192">
        <v>3798</v>
      </c>
      <c r="G192">
        <v>31</v>
      </c>
      <c r="H192">
        <v>279</v>
      </c>
      <c r="I192">
        <v>75960</v>
      </c>
      <c r="J192">
        <v>75813</v>
      </c>
      <c r="K192">
        <v>266</v>
      </c>
      <c r="L192" t="s">
        <v>53</v>
      </c>
      <c r="M192" t="s">
        <v>7</v>
      </c>
      <c r="N192" s="2">
        <f>(Posts__2[[#This Row],[Likes]]+Posts__2[[#This Row],[Shares]]+Posts__2[[#This Row],[Comments]])/Posts__2[[#This Row],[Impressions]]</f>
        <v>5.4081095313322801E-2</v>
      </c>
      <c r="O192" s="7">
        <f>Posts__2[[#This Row],[Likes]]+Posts__2[[#This Row],[Shares]]+Posts__2[[#This Row],[Comments]]</f>
        <v>4108</v>
      </c>
      <c r="P192" s="7">
        <f>_xlfn.XLOOKUP(Posts__2[[#This Row],[Platform]],'Engagement Summary'!B:B,'Engagement Summary'!G:G,"NA",0)</f>
        <v>9566</v>
      </c>
      <c r="Q192" t="str">
        <f>IFERROR(IF(C192 &lt; _xlfn.XLOOKUP(M192, 'Campaign Metadata'!A:A, 'Campaign Metadata'!B:B), "Before", "During"), "Not Found")</f>
        <v>During</v>
      </c>
      <c r="R192" s="13">
        <f>Posts__2[[#This Row],[Engagement]]/Posts__2[[#This Row],[Ad Spend]]</f>
        <v>0.42943759146978883</v>
      </c>
    </row>
    <row r="193" spans="1:18" x14ac:dyDescent="0.3">
      <c r="A193" t="s">
        <v>256</v>
      </c>
      <c r="B193" t="s">
        <v>30</v>
      </c>
      <c r="C193" s="1">
        <v>45483</v>
      </c>
      <c r="D193" t="s">
        <v>63</v>
      </c>
      <c r="E193" t="s">
        <v>91</v>
      </c>
      <c r="F193">
        <v>3099</v>
      </c>
      <c r="G193">
        <v>694</v>
      </c>
      <c r="H193">
        <v>171</v>
      </c>
      <c r="I193">
        <v>43386</v>
      </c>
      <c r="J193">
        <v>42921</v>
      </c>
      <c r="K193">
        <v>52</v>
      </c>
      <c r="L193" t="s">
        <v>53</v>
      </c>
      <c r="M193" t="s">
        <v>15</v>
      </c>
      <c r="N193" s="2">
        <f>(Posts__2[[#This Row],[Likes]]+Posts__2[[#This Row],[Shares]]+Posts__2[[#This Row],[Comments]])/Posts__2[[#This Row],[Impressions]]</f>
        <v>9.1365878393951966E-2</v>
      </c>
      <c r="O193" s="7">
        <f>Posts__2[[#This Row],[Likes]]+Posts__2[[#This Row],[Shares]]+Posts__2[[#This Row],[Comments]]</f>
        <v>3964</v>
      </c>
      <c r="P193" s="7">
        <f>_xlfn.XLOOKUP(Posts__2[[#This Row],[Platform]],'Engagement Summary'!B:B,'Engagement Summary'!G:G,"NA",0)</f>
        <v>5904</v>
      </c>
      <c r="Q193" t="str">
        <f>IFERROR(IF(C193 &lt; _xlfn.XLOOKUP(M193, 'Campaign Metadata'!A:A, 'Campaign Metadata'!B:B), "Before", "During"), "Not Found")</f>
        <v>Before</v>
      </c>
      <c r="R193" s="13">
        <f>Posts__2[[#This Row],[Engagement]]/Posts__2[[#This Row],[Ad Spend]]</f>
        <v>0.67140921409214094</v>
      </c>
    </row>
    <row r="194" spans="1:18" x14ac:dyDescent="0.3">
      <c r="A194" t="s">
        <v>257</v>
      </c>
      <c r="B194" t="s">
        <v>30</v>
      </c>
      <c r="C194" s="1">
        <v>45603</v>
      </c>
      <c r="D194" t="s">
        <v>82</v>
      </c>
      <c r="E194" t="s">
        <v>89</v>
      </c>
      <c r="F194">
        <v>129</v>
      </c>
      <c r="G194">
        <v>643</v>
      </c>
      <c r="H194">
        <v>136</v>
      </c>
      <c r="I194">
        <v>1290</v>
      </c>
      <c r="J194">
        <v>839</v>
      </c>
      <c r="K194">
        <v>238</v>
      </c>
      <c r="L194" t="s">
        <v>53</v>
      </c>
      <c r="M194" t="s">
        <v>19</v>
      </c>
      <c r="N194" s="2">
        <f>(Posts__2[[#This Row],[Likes]]+Posts__2[[#This Row],[Shares]]+Posts__2[[#This Row],[Comments]])/Posts__2[[#This Row],[Impressions]]</f>
        <v>0.70387596899224802</v>
      </c>
      <c r="O194" s="7">
        <f>Posts__2[[#This Row],[Likes]]+Posts__2[[#This Row],[Shares]]+Posts__2[[#This Row],[Comments]]</f>
        <v>908</v>
      </c>
      <c r="P194" s="7">
        <f>_xlfn.XLOOKUP(Posts__2[[#This Row],[Platform]],'Engagement Summary'!B:B,'Engagement Summary'!G:G,"NA",0)</f>
        <v>5904</v>
      </c>
      <c r="Q194" t="str">
        <f>IFERROR(IF(C194 &lt; _xlfn.XLOOKUP(M194, 'Campaign Metadata'!A:A, 'Campaign Metadata'!B:B), "Before", "During"), "Not Found")</f>
        <v>Before</v>
      </c>
      <c r="R194" s="13">
        <f>Posts__2[[#This Row],[Engagement]]/Posts__2[[#This Row],[Ad Spend]]</f>
        <v>0.15379403794037941</v>
      </c>
    </row>
    <row r="195" spans="1:18" x14ac:dyDescent="0.3">
      <c r="A195" t="s">
        <v>258</v>
      </c>
      <c r="B195" t="s">
        <v>31</v>
      </c>
      <c r="C195" s="1">
        <v>45488</v>
      </c>
      <c r="D195" t="s">
        <v>63</v>
      </c>
      <c r="E195" t="s">
        <v>64</v>
      </c>
      <c r="F195">
        <v>3796</v>
      </c>
      <c r="G195">
        <v>667</v>
      </c>
      <c r="H195">
        <v>395</v>
      </c>
      <c r="I195">
        <v>64532</v>
      </c>
      <c r="J195">
        <v>63550</v>
      </c>
      <c r="K195">
        <v>292</v>
      </c>
      <c r="L195" t="s">
        <v>53</v>
      </c>
      <c r="M195" t="s">
        <v>380</v>
      </c>
      <c r="N195" s="2">
        <f>(Posts__2[[#This Row],[Likes]]+Posts__2[[#This Row],[Shares]]+Posts__2[[#This Row],[Comments]])/Posts__2[[#This Row],[Impressions]]</f>
        <v>7.5280481001673588E-2</v>
      </c>
      <c r="O195" s="7">
        <f>Posts__2[[#This Row],[Likes]]+Posts__2[[#This Row],[Shares]]+Posts__2[[#This Row],[Comments]]</f>
        <v>4858</v>
      </c>
      <c r="P195" s="7">
        <f>_xlfn.XLOOKUP(Posts__2[[#This Row],[Platform]],'Engagement Summary'!B:B,'Engagement Summary'!G:G,"NA",0)</f>
        <v>9566</v>
      </c>
      <c r="Q195" t="str">
        <f>IFERROR(IF(C195 &lt; _xlfn.XLOOKUP(M195, 'Campaign Metadata'!A:A, 'Campaign Metadata'!B:B), "Before", "During"), "Not Found")</f>
        <v>Not Found</v>
      </c>
      <c r="R195" s="13">
        <f>Posts__2[[#This Row],[Engagement]]/Posts__2[[#This Row],[Ad Spend]]</f>
        <v>0.50784026761446788</v>
      </c>
    </row>
    <row r="196" spans="1:18" x14ac:dyDescent="0.3">
      <c r="A196" t="s">
        <v>259</v>
      </c>
      <c r="B196" t="s">
        <v>33</v>
      </c>
      <c r="C196" s="1">
        <v>45629</v>
      </c>
      <c r="D196" t="s">
        <v>51</v>
      </c>
      <c r="E196" t="s">
        <v>99</v>
      </c>
      <c r="F196">
        <v>3711</v>
      </c>
      <c r="G196">
        <v>352</v>
      </c>
      <c r="H196">
        <v>290</v>
      </c>
      <c r="I196">
        <v>48243</v>
      </c>
      <c r="J196">
        <v>47579</v>
      </c>
      <c r="K196">
        <v>11</v>
      </c>
      <c r="L196" t="s">
        <v>53</v>
      </c>
      <c r="M196" t="s">
        <v>7</v>
      </c>
      <c r="N196" s="2">
        <f>(Posts__2[[#This Row],[Likes]]+Posts__2[[#This Row],[Shares]]+Posts__2[[#This Row],[Comments]])/Posts__2[[#This Row],[Impressions]]</f>
        <v>9.023070704558174E-2</v>
      </c>
      <c r="O196" s="7">
        <f>Posts__2[[#This Row],[Likes]]+Posts__2[[#This Row],[Shares]]+Posts__2[[#This Row],[Comments]]</f>
        <v>4353</v>
      </c>
      <c r="P196" s="7">
        <f>_xlfn.XLOOKUP(Posts__2[[#This Row],[Platform]],'Engagement Summary'!B:B,'Engagement Summary'!G:G,"NA",0)</f>
        <v>30671</v>
      </c>
      <c r="Q196" t="str">
        <f>IFERROR(IF(C196 &lt; _xlfn.XLOOKUP(M196, 'Campaign Metadata'!A:A, 'Campaign Metadata'!B:B), "Before", "During"), "Not Found")</f>
        <v>During</v>
      </c>
      <c r="R196" s="13">
        <f>Posts__2[[#This Row],[Engagement]]/Posts__2[[#This Row],[Ad Spend]]</f>
        <v>0.14192559746992273</v>
      </c>
    </row>
    <row r="197" spans="1:18" x14ac:dyDescent="0.3">
      <c r="A197" t="s">
        <v>260</v>
      </c>
      <c r="B197" t="s">
        <v>33</v>
      </c>
      <c r="C197" s="1">
        <v>45737</v>
      </c>
      <c r="D197" t="s">
        <v>68</v>
      </c>
      <c r="E197" t="s">
        <v>69</v>
      </c>
      <c r="F197">
        <v>606</v>
      </c>
      <c r="G197">
        <v>789</v>
      </c>
      <c r="H197">
        <v>470</v>
      </c>
      <c r="I197">
        <v>7878</v>
      </c>
      <c r="J197">
        <v>7389</v>
      </c>
      <c r="K197">
        <v>239</v>
      </c>
      <c r="L197" t="s">
        <v>60</v>
      </c>
      <c r="M197" t="s">
        <v>15</v>
      </c>
      <c r="N197" s="2">
        <f>(Posts__2[[#This Row],[Likes]]+Posts__2[[#This Row],[Shares]]+Posts__2[[#This Row],[Comments]])/Posts__2[[#This Row],[Impressions]]</f>
        <v>0.23673521198273673</v>
      </c>
      <c r="O197" s="7">
        <f>Posts__2[[#This Row],[Likes]]+Posts__2[[#This Row],[Shares]]+Posts__2[[#This Row],[Comments]]</f>
        <v>1865</v>
      </c>
      <c r="P197" s="7">
        <f>_xlfn.XLOOKUP(Posts__2[[#This Row],[Platform]],'Engagement Summary'!B:B,'Engagement Summary'!G:G,"NA",0)</f>
        <v>30671</v>
      </c>
      <c r="Q197" t="str">
        <f>IFERROR(IF(C197 &lt; _xlfn.XLOOKUP(M197, 'Campaign Metadata'!A:A, 'Campaign Metadata'!B:B), "Before", "During"), "Not Found")</f>
        <v>During</v>
      </c>
      <c r="R197" s="13">
        <f>Posts__2[[#This Row],[Engagement]]/Posts__2[[#This Row],[Ad Spend]]</f>
        <v>6.0806625150793908E-2</v>
      </c>
    </row>
    <row r="198" spans="1:18" x14ac:dyDescent="0.3">
      <c r="A198" t="s">
        <v>261</v>
      </c>
      <c r="B198" t="s">
        <v>31</v>
      </c>
      <c r="C198" s="1">
        <v>45504</v>
      </c>
      <c r="D198" t="s">
        <v>68</v>
      </c>
      <c r="E198" t="s">
        <v>73</v>
      </c>
      <c r="F198">
        <v>4689</v>
      </c>
      <c r="G198">
        <v>134</v>
      </c>
      <c r="H198">
        <v>403</v>
      </c>
      <c r="I198">
        <v>51579</v>
      </c>
      <c r="J198">
        <v>50924</v>
      </c>
      <c r="K198">
        <v>173</v>
      </c>
      <c r="L198" t="s">
        <v>53</v>
      </c>
      <c r="M198" t="s">
        <v>19</v>
      </c>
      <c r="N198" s="2">
        <f>(Posts__2[[#This Row],[Likes]]+Posts__2[[#This Row],[Shares]]+Posts__2[[#This Row],[Comments]])/Posts__2[[#This Row],[Impressions]]</f>
        <v>0.10132030477519921</v>
      </c>
      <c r="O198" s="7">
        <f>Posts__2[[#This Row],[Likes]]+Posts__2[[#This Row],[Shares]]+Posts__2[[#This Row],[Comments]]</f>
        <v>5226</v>
      </c>
      <c r="P198" s="7">
        <f>_xlfn.XLOOKUP(Posts__2[[#This Row],[Platform]],'Engagement Summary'!B:B,'Engagement Summary'!G:G,"NA",0)</f>
        <v>9566</v>
      </c>
      <c r="Q198" t="str">
        <f>IFERROR(IF(C198 &lt; _xlfn.XLOOKUP(M198, 'Campaign Metadata'!A:A, 'Campaign Metadata'!B:B), "Before", "During"), "Not Found")</f>
        <v>Before</v>
      </c>
      <c r="R198" s="13">
        <f>Posts__2[[#This Row],[Engagement]]/Posts__2[[#This Row],[Ad Spend]]</f>
        <v>0.54630984737612376</v>
      </c>
    </row>
    <row r="199" spans="1:18" x14ac:dyDescent="0.3">
      <c r="A199" t="s">
        <v>262</v>
      </c>
      <c r="B199" t="s">
        <v>30</v>
      </c>
      <c r="C199" s="1">
        <v>45643</v>
      </c>
      <c r="D199" t="s">
        <v>58</v>
      </c>
      <c r="E199" t="s">
        <v>59</v>
      </c>
      <c r="F199">
        <v>360</v>
      </c>
      <c r="G199">
        <v>590</v>
      </c>
      <c r="H199">
        <v>393</v>
      </c>
      <c r="I199">
        <v>4680</v>
      </c>
      <c r="J199">
        <v>4322</v>
      </c>
      <c r="K199">
        <v>208</v>
      </c>
      <c r="L199" t="s">
        <v>48</v>
      </c>
      <c r="M199" t="s">
        <v>11</v>
      </c>
      <c r="N199" s="2">
        <f>(Posts__2[[#This Row],[Likes]]+Posts__2[[#This Row],[Shares]]+Posts__2[[#This Row],[Comments]])/Posts__2[[#This Row],[Impressions]]</f>
        <v>0.28696581196581195</v>
      </c>
      <c r="O199" s="7">
        <f>Posts__2[[#This Row],[Likes]]+Posts__2[[#This Row],[Shares]]+Posts__2[[#This Row],[Comments]]</f>
        <v>1343</v>
      </c>
      <c r="P199" s="7">
        <f>_xlfn.XLOOKUP(Posts__2[[#This Row],[Platform]],'Engagement Summary'!B:B,'Engagement Summary'!G:G,"NA",0)</f>
        <v>5904</v>
      </c>
      <c r="Q199" t="str">
        <f>IFERROR(IF(C199 &lt; _xlfn.XLOOKUP(M199, 'Campaign Metadata'!A:A, 'Campaign Metadata'!B:B), "Before", "During"), "Not Found")</f>
        <v>During</v>
      </c>
      <c r="R199" s="13">
        <f>Posts__2[[#This Row],[Engagement]]/Posts__2[[#This Row],[Ad Spend]]</f>
        <v>0.22747289972899729</v>
      </c>
    </row>
    <row r="200" spans="1:18" x14ac:dyDescent="0.3">
      <c r="A200" t="s">
        <v>263</v>
      </c>
      <c r="B200" t="s">
        <v>32</v>
      </c>
      <c r="C200" s="1">
        <v>45501</v>
      </c>
      <c r="D200" t="s">
        <v>68</v>
      </c>
      <c r="E200" t="s">
        <v>114</v>
      </c>
      <c r="F200">
        <v>3215</v>
      </c>
      <c r="G200">
        <v>960</v>
      </c>
      <c r="H200">
        <v>202</v>
      </c>
      <c r="I200">
        <v>32150</v>
      </c>
      <c r="J200">
        <v>31404</v>
      </c>
      <c r="K200">
        <v>251</v>
      </c>
      <c r="L200" t="s">
        <v>60</v>
      </c>
      <c r="M200" t="s">
        <v>7</v>
      </c>
      <c r="N200" s="2">
        <f>(Posts__2[[#This Row],[Likes]]+Posts__2[[#This Row],[Shares]]+Posts__2[[#This Row],[Comments]])/Posts__2[[#This Row],[Impressions]]</f>
        <v>0.13614307931570763</v>
      </c>
      <c r="O200" s="7">
        <f>Posts__2[[#This Row],[Likes]]+Posts__2[[#This Row],[Shares]]+Posts__2[[#This Row],[Comments]]</f>
        <v>4377</v>
      </c>
      <c r="P200" s="7">
        <f>_xlfn.XLOOKUP(Posts__2[[#This Row],[Platform]],'Engagement Summary'!B:B,'Engagement Summary'!G:G,"NA",0)</f>
        <v>26752</v>
      </c>
      <c r="Q200" t="str">
        <f>IFERROR(IF(C200 &lt; _xlfn.XLOOKUP(M200, 'Campaign Metadata'!A:A, 'Campaign Metadata'!B:B), "Before", "During"), "Not Found")</f>
        <v>During</v>
      </c>
      <c r="R200" s="13">
        <f>Posts__2[[#This Row],[Engagement]]/Posts__2[[#This Row],[Ad Spend]]</f>
        <v>0.16361393540669855</v>
      </c>
    </row>
    <row r="201" spans="1:18" x14ac:dyDescent="0.3">
      <c r="A201" t="s">
        <v>264</v>
      </c>
      <c r="B201" t="s">
        <v>30</v>
      </c>
      <c r="C201" s="1">
        <v>45668</v>
      </c>
      <c r="D201" t="s">
        <v>63</v>
      </c>
      <c r="E201" t="s">
        <v>91</v>
      </c>
      <c r="F201">
        <v>4523</v>
      </c>
      <c r="G201">
        <v>61</v>
      </c>
      <c r="H201">
        <v>157</v>
      </c>
      <c r="I201">
        <v>49753</v>
      </c>
      <c r="J201">
        <v>49329</v>
      </c>
      <c r="K201">
        <v>71</v>
      </c>
      <c r="L201" t="s">
        <v>60</v>
      </c>
      <c r="M201" t="s">
        <v>380</v>
      </c>
      <c r="N201" s="2">
        <f>(Posts__2[[#This Row],[Likes]]+Posts__2[[#This Row],[Shares]]+Posts__2[[#This Row],[Comments]])/Posts__2[[#This Row],[Impressions]]</f>
        <v>9.5290736237010829E-2</v>
      </c>
      <c r="O201" s="7">
        <f>Posts__2[[#This Row],[Likes]]+Posts__2[[#This Row],[Shares]]+Posts__2[[#This Row],[Comments]]</f>
        <v>4741</v>
      </c>
      <c r="P201" s="7">
        <f>_xlfn.XLOOKUP(Posts__2[[#This Row],[Platform]],'Engagement Summary'!B:B,'Engagement Summary'!G:G,"NA",0)</f>
        <v>5904</v>
      </c>
      <c r="Q201" t="str">
        <f>IFERROR(IF(C201 &lt; _xlfn.XLOOKUP(M201, 'Campaign Metadata'!A:A, 'Campaign Metadata'!B:B), "Before", "During"), "Not Found")</f>
        <v>Not Found</v>
      </c>
      <c r="R201" s="13">
        <f>Posts__2[[#This Row],[Engagement]]/Posts__2[[#This Row],[Ad Spend]]</f>
        <v>0.80301490514905149</v>
      </c>
    </row>
    <row r="202" spans="1:18" x14ac:dyDescent="0.3">
      <c r="A202" t="s">
        <v>265</v>
      </c>
      <c r="B202" t="s">
        <v>31</v>
      </c>
      <c r="C202" s="1">
        <v>45528</v>
      </c>
      <c r="D202" t="s">
        <v>63</v>
      </c>
      <c r="E202" t="s">
        <v>64</v>
      </c>
      <c r="F202">
        <v>4292</v>
      </c>
      <c r="G202">
        <v>51</v>
      </c>
      <c r="H202">
        <v>392</v>
      </c>
      <c r="I202">
        <v>55796</v>
      </c>
      <c r="J202">
        <v>54826</v>
      </c>
      <c r="K202">
        <v>264</v>
      </c>
      <c r="L202" t="s">
        <v>60</v>
      </c>
      <c r="M202" t="s">
        <v>15</v>
      </c>
      <c r="N202" s="2">
        <f>(Posts__2[[#This Row],[Likes]]+Posts__2[[#This Row],[Shares]]+Posts__2[[#This Row],[Comments]])/Posts__2[[#This Row],[Impressions]]</f>
        <v>8.4862714173059003E-2</v>
      </c>
      <c r="O202" s="7">
        <f>Posts__2[[#This Row],[Likes]]+Posts__2[[#This Row],[Shares]]+Posts__2[[#This Row],[Comments]]</f>
        <v>4735</v>
      </c>
      <c r="P202" s="7">
        <f>_xlfn.XLOOKUP(Posts__2[[#This Row],[Platform]],'Engagement Summary'!B:B,'Engagement Summary'!G:G,"NA",0)</f>
        <v>9566</v>
      </c>
      <c r="Q202" t="str">
        <f>IFERROR(IF(C202 &lt; _xlfn.XLOOKUP(M202, 'Campaign Metadata'!A:A, 'Campaign Metadata'!B:B), "Before", "During"), "Not Found")</f>
        <v>Before</v>
      </c>
      <c r="R202" s="13">
        <f>Posts__2[[#This Row],[Engagement]]/Posts__2[[#This Row],[Ad Spend]]</f>
        <v>0.49498222872674053</v>
      </c>
    </row>
    <row r="203" spans="1:18" x14ac:dyDescent="0.3">
      <c r="A203" t="s">
        <v>266</v>
      </c>
      <c r="B203" t="s">
        <v>32</v>
      </c>
      <c r="C203" s="1">
        <v>45648</v>
      </c>
      <c r="D203" t="s">
        <v>46</v>
      </c>
      <c r="E203" t="s">
        <v>47</v>
      </c>
      <c r="F203">
        <v>1644</v>
      </c>
      <c r="G203">
        <v>546</v>
      </c>
      <c r="H203">
        <v>150</v>
      </c>
      <c r="I203">
        <v>27948</v>
      </c>
      <c r="J203">
        <v>27184</v>
      </c>
      <c r="K203">
        <v>300</v>
      </c>
      <c r="L203" t="s">
        <v>60</v>
      </c>
      <c r="M203" t="s">
        <v>15</v>
      </c>
      <c r="N203" s="2">
        <f>(Posts__2[[#This Row],[Likes]]+Posts__2[[#This Row],[Shares]]+Posts__2[[#This Row],[Comments]])/Posts__2[[#This Row],[Impressions]]</f>
        <v>8.3726921425504502E-2</v>
      </c>
      <c r="O203" s="7">
        <f>Posts__2[[#This Row],[Likes]]+Posts__2[[#This Row],[Shares]]+Posts__2[[#This Row],[Comments]]</f>
        <v>2340</v>
      </c>
      <c r="P203" s="7">
        <f>_xlfn.XLOOKUP(Posts__2[[#This Row],[Platform]],'Engagement Summary'!B:B,'Engagement Summary'!G:G,"NA",0)</f>
        <v>26752</v>
      </c>
      <c r="Q203" t="str">
        <f>IFERROR(IF(C203 &lt; _xlfn.XLOOKUP(M203, 'Campaign Metadata'!A:A, 'Campaign Metadata'!B:B), "Before", "During"), "Not Found")</f>
        <v>Before</v>
      </c>
      <c r="R203" s="13">
        <f>Posts__2[[#This Row],[Engagement]]/Posts__2[[#This Row],[Ad Spend]]</f>
        <v>8.7470095693779906E-2</v>
      </c>
    </row>
    <row r="204" spans="1:18" x14ac:dyDescent="0.3">
      <c r="A204" t="s">
        <v>267</v>
      </c>
      <c r="B204" t="s">
        <v>33</v>
      </c>
      <c r="C204" s="1">
        <v>45449</v>
      </c>
      <c r="D204" t="s">
        <v>46</v>
      </c>
      <c r="E204" t="s">
        <v>56</v>
      </c>
      <c r="F204">
        <v>2728</v>
      </c>
      <c r="G204">
        <v>533</v>
      </c>
      <c r="H204">
        <v>215</v>
      </c>
      <c r="I204">
        <v>40920</v>
      </c>
      <c r="J204">
        <v>40816</v>
      </c>
      <c r="K204">
        <v>137</v>
      </c>
      <c r="L204" t="s">
        <v>48</v>
      </c>
      <c r="M204" t="s">
        <v>11</v>
      </c>
      <c r="N204" s="2">
        <f>(Posts__2[[#This Row],[Likes]]+Posts__2[[#This Row],[Shares]]+Posts__2[[#This Row],[Comments]])/Posts__2[[#This Row],[Impressions]]</f>
        <v>8.4946236559139784E-2</v>
      </c>
      <c r="O204" s="7">
        <f>Posts__2[[#This Row],[Likes]]+Posts__2[[#This Row],[Shares]]+Posts__2[[#This Row],[Comments]]</f>
        <v>3476</v>
      </c>
      <c r="P204" s="7">
        <f>_xlfn.XLOOKUP(Posts__2[[#This Row],[Platform]],'Engagement Summary'!B:B,'Engagement Summary'!G:G,"NA",0)</f>
        <v>30671</v>
      </c>
      <c r="Q204" t="str">
        <f>IFERROR(IF(C204 &lt; _xlfn.XLOOKUP(M204, 'Campaign Metadata'!A:A, 'Campaign Metadata'!B:B), "Before", "During"), "Not Found")</f>
        <v>Before</v>
      </c>
      <c r="R204" s="13">
        <f>Posts__2[[#This Row],[Engagement]]/Posts__2[[#This Row],[Ad Spend]]</f>
        <v>0.11333181180920088</v>
      </c>
    </row>
    <row r="205" spans="1:18" x14ac:dyDescent="0.3">
      <c r="A205" t="s">
        <v>268</v>
      </c>
      <c r="B205" t="s">
        <v>31</v>
      </c>
      <c r="C205" s="1">
        <v>45740</v>
      </c>
      <c r="D205" t="s">
        <v>46</v>
      </c>
      <c r="E205" t="s">
        <v>76</v>
      </c>
      <c r="F205">
        <v>3360</v>
      </c>
      <c r="G205">
        <v>525</v>
      </c>
      <c r="H205">
        <v>500</v>
      </c>
      <c r="I205">
        <v>60480</v>
      </c>
      <c r="J205">
        <v>59610</v>
      </c>
      <c r="K205">
        <v>192</v>
      </c>
      <c r="L205" t="s">
        <v>53</v>
      </c>
      <c r="M205" t="s">
        <v>7</v>
      </c>
      <c r="N205" s="2">
        <f>(Posts__2[[#This Row],[Likes]]+Posts__2[[#This Row],[Shares]]+Posts__2[[#This Row],[Comments]])/Posts__2[[#This Row],[Impressions]]</f>
        <v>7.2503306878306875E-2</v>
      </c>
      <c r="O205" s="7">
        <f>Posts__2[[#This Row],[Likes]]+Posts__2[[#This Row],[Shares]]+Posts__2[[#This Row],[Comments]]</f>
        <v>4385</v>
      </c>
      <c r="P205" s="7">
        <f>_xlfn.XLOOKUP(Posts__2[[#This Row],[Platform]],'Engagement Summary'!B:B,'Engagement Summary'!G:G,"NA",0)</f>
        <v>9566</v>
      </c>
      <c r="Q205" t="str">
        <f>IFERROR(IF(C205 &lt; _xlfn.XLOOKUP(M205, 'Campaign Metadata'!A:A, 'Campaign Metadata'!B:B), "Before", "During"), "Not Found")</f>
        <v>During</v>
      </c>
      <c r="R205" s="13">
        <f>Posts__2[[#This Row],[Engagement]]/Posts__2[[#This Row],[Ad Spend]]</f>
        <v>0.45839431319255697</v>
      </c>
    </row>
    <row r="206" spans="1:18" x14ac:dyDescent="0.3">
      <c r="A206" t="s">
        <v>269</v>
      </c>
      <c r="B206" t="s">
        <v>33</v>
      </c>
      <c r="C206" s="1">
        <v>45569</v>
      </c>
      <c r="D206" t="s">
        <v>51</v>
      </c>
      <c r="E206" t="s">
        <v>99</v>
      </c>
      <c r="F206">
        <v>1963</v>
      </c>
      <c r="G206">
        <v>213</v>
      </c>
      <c r="H206">
        <v>19</v>
      </c>
      <c r="I206">
        <v>39260</v>
      </c>
      <c r="J206">
        <v>38771</v>
      </c>
      <c r="K206">
        <v>145</v>
      </c>
      <c r="L206" t="s">
        <v>48</v>
      </c>
      <c r="M206" t="s">
        <v>380</v>
      </c>
      <c r="N206" s="2">
        <f>(Posts__2[[#This Row],[Likes]]+Posts__2[[#This Row],[Shares]]+Posts__2[[#This Row],[Comments]])/Posts__2[[#This Row],[Impressions]]</f>
        <v>5.5909322465613857E-2</v>
      </c>
      <c r="O206" s="7">
        <f>Posts__2[[#This Row],[Likes]]+Posts__2[[#This Row],[Shares]]+Posts__2[[#This Row],[Comments]]</f>
        <v>2195</v>
      </c>
      <c r="P206" s="7">
        <f>_xlfn.XLOOKUP(Posts__2[[#This Row],[Platform]],'Engagement Summary'!B:B,'Engagement Summary'!G:G,"NA",0)</f>
        <v>30671</v>
      </c>
      <c r="Q206" t="str">
        <f>IFERROR(IF(C206 &lt; _xlfn.XLOOKUP(M206, 'Campaign Metadata'!A:A, 'Campaign Metadata'!B:B), "Before", "During"), "Not Found")</f>
        <v>Not Found</v>
      </c>
      <c r="R206" s="13">
        <f>Posts__2[[#This Row],[Engagement]]/Posts__2[[#This Row],[Ad Spend]]</f>
        <v>7.1565974373186403E-2</v>
      </c>
    </row>
    <row r="207" spans="1:18" x14ac:dyDescent="0.3">
      <c r="A207" t="s">
        <v>270</v>
      </c>
      <c r="B207" t="s">
        <v>33</v>
      </c>
      <c r="C207" s="1">
        <v>45629</v>
      </c>
      <c r="D207" t="s">
        <v>58</v>
      </c>
      <c r="E207" t="s">
        <v>127</v>
      </c>
      <c r="F207">
        <v>4285</v>
      </c>
      <c r="G207">
        <v>886</v>
      </c>
      <c r="H207">
        <v>376</v>
      </c>
      <c r="I207">
        <v>55705</v>
      </c>
      <c r="J207">
        <v>55556</v>
      </c>
      <c r="K207">
        <v>51</v>
      </c>
      <c r="L207" t="s">
        <v>48</v>
      </c>
      <c r="M207" t="s">
        <v>15</v>
      </c>
      <c r="N207" s="2">
        <f>(Posts__2[[#This Row],[Likes]]+Posts__2[[#This Row],[Shares]]+Posts__2[[#This Row],[Comments]])/Posts__2[[#This Row],[Impressions]]</f>
        <v>9.9578134817341346E-2</v>
      </c>
      <c r="O207" s="7">
        <f>Posts__2[[#This Row],[Likes]]+Posts__2[[#This Row],[Shares]]+Posts__2[[#This Row],[Comments]]</f>
        <v>5547</v>
      </c>
      <c r="P207" s="7">
        <f>_xlfn.XLOOKUP(Posts__2[[#This Row],[Platform]],'Engagement Summary'!B:B,'Engagement Summary'!G:G,"NA",0)</f>
        <v>30671</v>
      </c>
      <c r="Q207" t="str">
        <f>IFERROR(IF(C207 &lt; _xlfn.XLOOKUP(M207, 'Campaign Metadata'!A:A, 'Campaign Metadata'!B:B), "Before", "During"), "Not Found")</f>
        <v>Before</v>
      </c>
      <c r="R207" s="13">
        <f>Posts__2[[#This Row],[Engagement]]/Posts__2[[#This Row],[Ad Spend]]</f>
        <v>0.18085487920185192</v>
      </c>
    </row>
    <row r="208" spans="1:18" x14ac:dyDescent="0.3">
      <c r="A208" t="s">
        <v>271</v>
      </c>
      <c r="B208" t="s">
        <v>30</v>
      </c>
      <c r="C208" s="1">
        <v>45625</v>
      </c>
      <c r="D208" t="s">
        <v>82</v>
      </c>
      <c r="E208" t="s">
        <v>89</v>
      </c>
      <c r="F208">
        <v>1176</v>
      </c>
      <c r="G208">
        <v>464</v>
      </c>
      <c r="H208">
        <v>394</v>
      </c>
      <c r="I208">
        <v>14112</v>
      </c>
      <c r="J208">
        <v>13588</v>
      </c>
      <c r="K208">
        <v>272</v>
      </c>
      <c r="L208" t="s">
        <v>60</v>
      </c>
      <c r="M208" t="s">
        <v>380</v>
      </c>
      <c r="N208" s="2">
        <f>(Posts__2[[#This Row],[Likes]]+Posts__2[[#This Row],[Shares]]+Posts__2[[#This Row],[Comments]])/Posts__2[[#This Row],[Impressions]]</f>
        <v>0.1441326530612245</v>
      </c>
      <c r="O208" s="7">
        <f>Posts__2[[#This Row],[Likes]]+Posts__2[[#This Row],[Shares]]+Posts__2[[#This Row],[Comments]]</f>
        <v>2034</v>
      </c>
      <c r="P208" s="7">
        <f>_xlfn.XLOOKUP(Posts__2[[#This Row],[Platform]],'Engagement Summary'!B:B,'Engagement Summary'!G:G,"NA",0)</f>
        <v>5904</v>
      </c>
      <c r="Q208" t="str">
        <f>IFERROR(IF(C208 &lt; _xlfn.XLOOKUP(M208, 'Campaign Metadata'!A:A, 'Campaign Metadata'!B:B), "Before", "During"), "Not Found")</f>
        <v>Not Found</v>
      </c>
      <c r="R208" s="13">
        <f>Posts__2[[#This Row],[Engagement]]/Posts__2[[#This Row],[Ad Spend]]</f>
        <v>0.34451219512195119</v>
      </c>
    </row>
    <row r="209" spans="1:18" x14ac:dyDescent="0.3">
      <c r="A209" t="s">
        <v>272</v>
      </c>
      <c r="B209" t="s">
        <v>32</v>
      </c>
      <c r="C209" s="1">
        <v>45546</v>
      </c>
      <c r="D209" t="s">
        <v>68</v>
      </c>
      <c r="E209" t="s">
        <v>114</v>
      </c>
      <c r="F209">
        <v>4858</v>
      </c>
      <c r="G209">
        <v>317</v>
      </c>
      <c r="H209">
        <v>129</v>
      </c>
      <c r="I209">
        <v>53438</v>
      </c>
      <c r="J209">
        <v>52687</v>
      </c>
      <c r="K209">
        <v>223</v>
      </c>
      <c r="L209" t="s">
        <v>60</v>
      </c>
      <c r="M209" t="s">
        <v>15</v>
      </c>
      <c r="N209" s="2">
        <f>(Posts__2[[#This Row],[Likes]]+Posts__2[[#This Row],[Shares]]+Posts__2[[#This Row],[Comments]])/Posts__2[[#This Row],[Impressions]]</f>
        <v>9.9255211647142488E-2</v>
      </c>
      <c r="O209" s="7">
        <f>Posts__2[[#This Row],[Likes]]+Posts__2[[#This Row],[Shares]]+Posts__2[[#This Row],[Comments]]</f>
        <v>5304</v>
      </c>
      <c r="P209" s="7">
        <f>_xlfn.XLOOKUP(Posts__2[[#This Row],[Platform]],'Engagement Summary'!B:B,'Engagement Summary'!G:G,"NA",0)</f>
        <v>26752</v>
      </c>
      <c r="Q209" t="str">
        <f>IFERROR(IF(C209 &lt; _xlfn.XLOOKUP(M209, 'Campaign Metadata'!A:A, 'Campaign Metadata'!B:B), "Before", "During"), "Not Found")</f>
        <v>Before</v>
      </c>
      <c r="R209" s="13">
        <f>Posts__2[[#This Row],[Engagement]]/Posts__2[[#This Row],[Ad Spend]]</f>
        <v>0.19826555023923445</v>
      </c>
    </row>
    <row r="210" spans="1:18" x14ac:dyDescent="0.3">
      <c r="A210" t="s">
        <v>273</v>
      </c>
      <c r="B210" t="s">
        <v>33</v>
      </c>
      <c r="C210" s="1">
        <v>45567</v>
      </c>
      <c r="D210" t="s">
        <v>58</v>
      </c>
      <c r="E210" t="s">
        <v>127</v>
      </c>
      <c r="F210">
        <v>4350</v>
      </c>
      <c r="G210">
        <v>771</v>
      </c>
      <c r="H210">
        <v>7</v>
      </c>
      <c r="I210">
        <v>60900</v>
      </c>
      <c r="J210">
        <v>60592</v>
      </c>
      <c r="K210">
        <v>195</v>
      </c>
      <c r="L210" t="s">
        <v>60</v>
      </c>
      <c r="M210" t="s">
        <v>7</v>
      </c>
      <c r="N210" s="2">
        <f>(Posts__2[[#This Row],[Likes]]+Posts__2[[#This Row],[Shares]]+Posts__2[[#This Row],[Comments]])/Posts__2[[#This Row],[Impressions]]</f>
        <v>8.4203612479474554E-2</v>
      </c>
      <c r="O210" s="7">
        <f>Posts__2[[#This Row],[Likes]]+Posts__2[[#This Row],[Shares]]+Posts__2[[#This Row],[Comments]]</f>
        <v>5128</v>
      </c>
      <c r="P210" s="7">
        <f>_xlfn.XLOOKUP(Posts__2[[#This Row],[Platform]],'Engagement Summary'!B:B,'Engagement Summary'!G:G,"NA",0)</f>
        <v>30671</v>
      </c>
      <c r="Q210" t="str">
        <f>IFERROR(IF(C210 &lt; _xlfn.XLOOKUP(M210, 'Campaign Metadata'!A:A, 'Campaign Metadata'!B:B), "Before", "During"), "Not Found")</f>
        <v>During</v>
      </c>
      <c r="R210" s="13">
        <f>Posts__2[[#This Row],[Engagement]]/Posts__2[[#This Row],[Ad Spend]]</f>
        <v>0.16719376609826872</v>
      </c>
    </row>
    <row r="211" spans="1:18" x14ac:dyDescent="0.3">
      <c r="A211" t="s">
        <v>274</v>
      </c>
      <c r="B211" t="s">
        <v>30</v>
      </c>
      <c r="C211" s="1">
        <v>45519</v>
      </c>
      <c r="D211" t="s">
        <v>63</v>
      </c>
      <c r="E211" t="s">
        <v>91</v>
      </c>
      <c r="F211">
        <v>914</v>
      </c>
      <c r="G211">
        <v>464</v>
      </c>
      <c r="H211">
        <v>246</v>
      </c>
      <c r="I211">
        <v>11882</v>
      </c>
      <c r="J211">
        <v>11500</v>
      </c>
      <c r="K211">
        <v>282</v>
      </c>
      <c r="L211" t="s">
        <v>48</v>
      </c>
      <c r="M211" t="s">
        <v>19</v>
      </c>
      <c r="N211" s="2">
        <f>(Posts__2[[#This Row],[Likes]]+Posts__2[[#This Row],[Shares]]+Posts__2[[#This Row],[Comments]])/Posts__2[[#This Row],[Impressions]]</f>
        <v>0.13667732704931829</v>
      </c>
      <c r="O211" s="7">
        <f>Posts__2[[#This Row],[Likes]]+Posts__2[[#This Row],[Shares]]+Posts__2[[#This Row],[Comments]]</f>
        <v>1624</v>
      </c>
      <c r="P211" s="7">
        <f>_xlfn.XLOOKUP(Posts__2[[#This Row],[Platform]],'Engagement Summary'!B:B,'Engagement Summary'!G:G,"NA",0)</f>
        <v>5904</v>
      </c>
      <c r="Q211" t="str">
        <f>IFERROR(IF(C211 &lt; _xlfn.XLOOKUP(M211, 'Campaign Metadata'!A:A, 'Campaign Metadata'!B:B), "Before", "During"), "Not Found")</f>
        <v>Before</v>
      </c>
      <c r="R211" s="13">
        <f>Posts__2[[#This Row],[Engagement]]/Posts__2[[#This Row],[Ad Spend]]</f>
        <v>0.27506775067750677</v>
      </c>
    </row>
    <row r="212" spans="1:18" x14ac:dyDescent="0.3">
      <c r="A212" t="s">
        <v>274</v>
      </c>
      <c r="B212" t="s">
        <v>30</v>
      </c>
      <c r="C212" s="1">
        <v>45519</v>
      </c>
      <c r="D212" t="s">
        <v>63</v>
      </c>
      <c r="E212" t="s">
        <v>91</v>
      </c>
      <c r="F212">
        <v>914</v>
      </c>
      <c r="G212">
        <v>464</v>
      </c>
      <c r="H212">
        <v>246</v>
      </c>
      <c r="I212">
        <v>11882</v>
      </c>
      <c r="J212">
        <v>11500</v>
      </c>
      <c r="K212">
        <v>282</v>
      </c>
      <c r="L212" t="s">
        <v>53</v>
      </c>
      <c r="M212" t="s">
        <v>19</v>
      </c>
      <c r="N212" s="2">
        <f>(Posts__2[[#This Row],[Likes]]+Posts__2[[#This Row],[Shares]]+Posts__2[[#This Row],[Comments]])/Posts__2[[#This Row],[Impressions]]</f>
        <v>0.13667732704931829</v>
      </c>
      <c r="O212" s="7">
        <f>Posts__2[[#This Row],[Likes]]+Posts__2[[#This Row],[Shares]]+Posts__2[[#This Row],[Comments]]</f>
        <v>1624</v>
      </c>
      <c r="P212" s="7">
        <f>_xlfn.XLOOKUP(Posts__2[[#This Row],[Platform]],'Engagement Summary'!B:B,'Engagement Summary'!G:G,"NA",0)</f>
        <v>5904</v>
      </c>
      <c r="Q212" t="str">
        <f>IFERROR(IF(C212 &lt; _xlfn.XLOOKUP(M212, 'Campaign Metadata'!A:A, 'Campaign Metadata'!B:B), "Before", "During"), "Not Found")</f>
        <v>Before</v>
      </c>
      <c r="R212" s="13">
        <f>Posts__2[[#This Row],[Engagement]]/Posts__2[[#This Row],[Ad Spend]]</f>
        <v>0.27506775067750677</v>
      </c>
    </row>
    <row r="213" spans="1:18" x14ac:dyDescent="0.3">
      <c r="A213" t="s">
        <v>274</v>
      </c>
      <c r="B213" t="s">
        <v>30</v>
      </c>
      <c r="C213" s="1">
        <v>45519</v>
      </c>
      <c r="D213" t="s">
        <v>63</v>
      </c>
      <c r="E213" t="s">
        <v>91</v>
      </c>
      <c r="F213">
        <v>914</v>
      </c>
      <c r="G213">
        <v>464</v>
      </c>
      <c r="H213">
        <v>246</v>
      </c>
      <c r="I213">
        <v>11882</v>
      </c>
      <c r="J213">
        <v>11500</v>
      </c>
      <c r="K213">
        <v>282</v>
      </c>
      <c r="L213" t="s">
        <v>49</v>
      </c>
      <c r="M213" t="s">
        <v>19</v>
      </c>
      <c r="N213" s="2">
        <f>(Posts__2[[#This Row],[Likes]]+Posts__2[[#This Row],[Shares]]+Posts__2[[#This Row],[Comments]])/Posts__2[[#This Row],[Impressions]]</f>
        <v>0.13667732704931829</v>
      </c>
      <c r="O213" s="7">
        <f>Posts__2[[#This Row],[Likes]]+Posts__2[[#This Row],[Shares]]+Posts__2[[#This Row],[Comments]]</f>
        <v>1624</v>
      </c>
      <c r="P213" s="7">
        <f>_xlfn.XLOOKUP(Posts__2[[#This Row],[Platform]],'Engagement Summary'!B:B,'Engagement Summary'!G:G,"NA",0)</f>
        <v>5904</v>
      </c>
      <c r="Q213" t="str">
        <f>IFERROR(IF(C213 &lt; _xlfn.XLOOKUP(M213, 'Campaign Metadata'!A:A, 'Campaign Metadata'!B:B), "Before", "During"), "Not Found")</f>
        <v>Before</v>
      </c>
      <c r="R213" s="13">
        <f>Posts__2[[#This Row],[Engagement]]/Posts__2[[#This Row],[Ad Spend]]</f>
        <v>0.27506775067750677</v>
      </c>
    </row>
    <row r="214" spans="1:18" x14ac:dyDescent="0.3">
      <c r="A214" t="s">
        <v>275</v>
      </c>
      <c r="B214" t="s">
        <v>30</v>
      </c>
      <c r="C214" s="1">
        <v>45645</v>
      </c>
      <c r="D214" t="s">
        <v>51</v>
      </c>
      <c r="E214" t="s">
        <v>104</v>
      </c>
      <c r="F214">
        <v>1813</v>
      </c>
      <c r="G214">
        <v>623</v>
      </c>
      <c r="H214">
        <v>72</v>
      </c>
      <c r="I214">
        <v>19943</v>
      </c>
      <c r="J214">
        <v>18959</v>
      </c>
      <c r="K214">
        <v>85</v>
      </c>
      <c r="L214" t="s">
        <v>60</v>
      </c>
      <c r="M214" t="s">
        <v>15</v>
      </c>
      <c r="N214" s="2">
        <f>(Posts__2[[#This Row],[Likes]]+Posts__2[[#This Row],[Shares]]+Posts__2[[#This Row],[Comments]])/Posts__2[[#This Row],[Impressions]]</f>
        <v>0.12575841147269717</v>
      </c>
      <c r="O214" s="7">
        <f>Posts__2[[#This Row],[Likes]]+Posts__2[[#This Row],[Shares]]+Posts__2[[#This Row],[Comments]]</f>
        <v>2508</v>
      </c>
      <c r="P214" s="7">
        <f>_xlfn.XLOOKUP(Posts__2[[#This Row],[Platform]],'Engagement Summary'!B:B,'Engagement Summary'!G:G,"NA",0)</f>
        <v>5904</v>
      </c>
      <c r="Q214" t="str">
        <f>IFERROR(IF(C214 &lt; _xlfn.XLOOKUP(M214, 'Campaign Metadata'!A:A, 'Campaign Metadata'!B:B), "Before", "During"), "Not Found")</f>
        <v>Before</v>
      </c>
      <c r="R214" s="13">
        <f>Posts__2[[#This Row],[Engagement]]/Posts__2[[#This Row],[Ad Spend]]</f>
        <v>0.42479674796747968</v>
      </c>
    </row>
    <row r="215" spans="1:18" x14ac:dyDescent="0.3">
      <c r="A215" t="s">
        <v>276</v>
      </c>
      <c r="B215" t="s">
        <v>32</v>
      </c>
      <c r="C215" s="1">
        <v>45587</v>
      </c>
      <c r="D215" t="s">
        <v>46</v>
      </c>
      <c r="E215" t="s">
        <v>47</v>
      </c>
      <c r="F215">
        <v>4782</v>
      </c>
      <c r="G215">
        <v>721</v>
      </c>
      <c r="H215">
        <v>82</v>
      </c>
      <c r="I215">
        <v>86076</v>
      </c>
      <c r="J215">
        <v>85339</v>
      </c>
      <c r="K215">
        <v>19</v>
      </c>
      <c r="L215" t="s">
        <v>60</v>
      </c>
      <c r="M215" t="s">
        <v>7</v>
      </c>
      <c r="N215" s="2">
        <f>(Posts__2[[#This Row],[Likes]]+Posts__2[[#This Row],[Shares]]+Posts__2[[#This Row],[Comments]])/Posts__2[[#This Row],[Impressions]]</f>
        <v>6.4884520656164318E-2</v>
      </c>
      <c r="O215" s="7">
        <f>Posts__2[[#This Row],[Likes]]+Posts__2[[#This Row],[Shares]]+Posts__2[[#This Row],[Comments]]</f>
        <v>5585</v>
      </c>
      <c r="P215" s="7">
        <f>_xlfn.XLOOKUP(Posts__2[[#This Row],[Platform]],'Engagement Summary'!B:B,'Engagement Summary'!G:G,"NA",0)</f>
        <v>26752</v>
      </c>
      <c r="Q215" t="str">
        <f>IFERROR(IF(C215 &lt; _xlfn.XLOOKUP(M215, 'Campaign Metadata'!A:A, 'Campaign Metadata'!B:B), "Before", "During"), "Not Found")</f>
        <v>During</v>
      </c>
      <c r="R215" s="13">
        <f>Posts__2[[#This Row],[Engagement]]/Posts__2[[#This Row],[Ad Spend]]</f>
        <v>0.20876943779904306</v>
      </c>
    </row>
    <row r="216" spans="1:18" x14ac:dyDescent="0.3">
      <c r="A216" t="s">
        <v>277</v>
      </c>
      <c r="B216" t="s">
        <v>32</v>
      </c>
      <c r="C216" s="1">
        <v>45549</v>
      </c>
      <c r="D216" t="s">
        <v>68</v>
      </c>
      <c r="E216" t="s">
        <v>114</v>
      </c>
      <c r="F216">
        <v>1048</v>
      </c>
      <c r="G216">
        <v>374</v>
      </c>
      <c r="H216">
        <v>450</v>
      </c>
      <c r="I216">
        <v>9432</v>
      </c>
      <c r="J216">
        <v>8882</v>
      </c>
      <c r="K216">
        <v>158</v>
      </c>
      <c r="L216" t="s">
        <v>53</v>
      </c>
      <c r="M216" t="s">
        <v>15</v>
      </c>
      <c r="N216" s="2">
        <f>(Posts__2[[#This Row],[Likes]]+Posts__2[[#This Row],[Shares]]+Posts__2[[#This Row],[Comments]])/Posts__2[[#This Row],[Impressions]]</f>
        <v>0.19847328244274809</v>
      </c>
      <c r="O216" s="7">
        <f>Posts__2[[#This Row],[Likes]]+Posts__2[[#This Row],[Shares]]+Posts__2[[#This Row],[Comments]]</f>
        <v>1872</v>
      </c>
      <c r="P216" s="7">
        <f>_xlfn.XLOOKUP(Posts__2[[#This Row],[Platform]],'Engagement Summary'!B:B,'Engagement Summary'!G:G,"NA",0)</f>
        <v>26752</v>
      </c>
      <c r="Q216" t="str">
        <f>IFERROR(IF(C216 &lt; _xlfn.XLOOKUP(M216, 'Campaign Metadata'!A:A, 'Campaign Metadata'!B:B), "Before", "During"), "Not Found")</f>
        <v>Before</v>
      </c>
      <c r="R216" s="13">
        <f>Posts__2[[#This Row],[Engagement]]/Posts__2[[#This Row],[Ad Spend]]</f>
        <v>6.9976076555023928E-2</v>
      </c>
    </row>
    <row r="217" spans="1:18" x14ac:dyDescent="0.3">
      <c r="A217" t="s">
        <v>278</v>
      </c>
      <c r="B217" t="s">
        <v>33</v>
      </c>
      <c r="C217" s="1">
        <v>45626</v>
      </c>
      <c r="D217" t="s">
        <v>63</v>
      </c>
      <c r="E217" t="s">
        <v>78</v>
      </c>
      <c r="F217">
        <v>2509</v>
      </c>
      <c r="G217">
        <v>324</v>
      </c>
      <c r="H217">
        <v>171</v>
      </c>
      <c r="I217">
        <v>35126</v>
      </c>
      <c r="J217">
        <v>34685</v>
      </c>
      <c r="K217">
        <v>277</v>
      </c>
      <c r="L217" t="s">
        <v>53</v>
      </c>
      <c r="M217" t="s">
        <v>11</v>
      </c>
      <c r="N217" s="2">
        <f>(Posts__2[[#This Row],[Likes]]+Posts__2[[#This Row],[Shares]]+Posts__2[[#This Row],[Comments]])/Posts__2[[#This Row],[Impressions]]</f>
        <v>8.5520696919660646E-2</v>
      </c>
      <c r="O217" s="7">
        <f>Posts__2[[#This Row],[Likes]]+Posts__2[[#This Row],[Shares]]+Posts__2[[#This Row],[Comments]]</f>
        <v>3004</v>
      </c>
      <c r="P217" s="7">
        <f>_xlfn.XLOOKUP(Posts__2[[#This Row],[Platform]],'Engagement Summary'!B:B,'Engagement Summary'!G:G,"NA",0)</f>
        <v>30671</v>
      </c>
      <c r="Q217" t="str">
        <f>IFERROR(IF(C217 &lt; _xlfn.XLOOKUP(M217, 'Campaign Metadata'!A:A, 'Campaign Metadata'!B:B), "Before", "During"), "Not Found")</f>
        <v>During</v>
      </c>
      <c r="R217" s="13">
        <f>Posts__2[[#This Row],[Engagement]]/Posts__2[[#This Row],[Ad Spend]]</f>
        <v>9.7942682012324339E-2</v>
      </c>
    </row>
    <row r="218" spans="1:18" x14ac:dyDescent="0.3">
      <c r="A218" t="s">
        <v>279</v>
      </c>
      <c r="B218" t="s">
        <v>31</v>
      </c>
      <c r="C218" s="1">
        <v>45754</v>
      </c>
      <c r="D218" t="s">
        <v>46</v>
      </c>
      <c r="E218" t="s">
        <v>76</v>
      </c>
      <c r="F218">
        <v>3718</v>
      </c>
      <c r="G218">
        <v>385</v>
      </c>
      <c r="H218">
        <v>310</v>
      </c>
      <c r="I218">
        <v>70642</v>
      </c>
      <c r="J218">
        <v>69749</v>
      </c>
      <c r="K218">
        <v>233</v>
      </c>
      <c r="L218" t="s">
        <v>53</v>
      </c>
      <c r="M218" t="s">
        <v>11</v>
      </c>
      <c r="N218" s="2">
        <f>(Posts__2[[#This Row],[Likes]]+Posts__2[[#This Row],[Shares]]+Posts__2[[#This Row],[Comments]])/Posts__2[[#This Row],[Impressions]]</f>
        <v>6.246991874522239E-2</v>
      </c>
      <c r="O218" s="7">
        <f>Posts__2[[#This Row],[Likes]]+Posts__2[[#This Row],[Shares]]+Posts__2[[#This Row],[Comments]]</f>
        <v>4413</v>
      </c>
      <c r="P218" s="7">
        <f>_xlfn.XLOOKUP(Posts__2[[#This Row],[Platform]],'Engagement Summary'!B:B,'Engagement Summary'!G:G,"NA",0)</f>
        <v>9566</v>
      </c>
      <c r="Q218" t="str">
        <f>IFERROR(IF(C218 &lt; _xlfn.XLOOKUP(M218, 'Campaign Metadata'!A:A, 'Campaign Metadata'!B:B), "Before", "During"), "Not Found")</f>
        <v>During</v>
      </c>
      <c r="R218" s="13">
        <f>Posts__2[[#This Row],[Engagement]]/Posts__2[[#This Row],[Ad Spend]]</f>
        <v>0.46132134643529166</v>
      </c>
    </row>
    <row r="219" spans="1:18" x14ac:dyDescent="0.3">
      <c r="A219" t="s">
        <v>280</v>
      </c>
      <c r="B219" t="s">
        <v>32</v>
      </c>
      <c r="C219" s="1">
        <v>45672</v>
      </c>
      <c r="D219" t="s">
        <v>46</v>
      </c>
      <c r="E219" t="s">
        <v>47</v>
      </c>
      <c r="F219">
        <v>802</v>
      </c>
      <c r="G219">
        <v>262</v>
      </c>
      <c r="H219">
        <v>244</v>
      </c>
      <c r="I219">
        <v>14436</v>
      </c>
      <c r="J219">
        <v>14280</v>
      </c>
      <c r="K219">
        <v>49</v>
      </c>
      <c r="L219" t="s">
        <v>60</v>
      </c>
      <c r="M219" t="s">
        <v>7</v>
      </c>
      <c r="N219" s="2">
        <f>(Posts__2[[#This Row],[Likes]]+Posts__2[[#This Row],[Shares]]+Posts__2[[#This Row],[Comments]])/Posts__2[[#This Row],[Impressions]]</f>
        <v>9.0606816292601824E-2</v>
      </c>
      <c r="O219" s="7">
        <f>Posts__2[[#This Row],[Likes]]+Posts__2[[#This Row],[Shares]]+Posts__2[[#This Row],[Comments]]</f>
        <v>1308</v>
      </c>
      <c r="P219" s="7">
        <f>_xlfn.XLOOKUP(Posts__2[[#This Row],[Platform]],'Engagement Summary'!B:B,'Engagement Summary'!G:G,"NA",0)</f>
        <v>26752</v>
      </c>
      <c r="Q219" t="str">
        <f>IFERROR(IF(C219 &lt; _xlfn.XLOOKUP(M219, 'Campaign Metadata'!A:A, 'Campaign Metadata'!B:B), "Before", "During"), "Not Found")</f>
        <v>During</v>
      </c>
      <c r="R219" s="13">
        <f>Posts__2[[#This Row],[Engagement]]/Posts__2[[#This Row],[Ad Spend]]</f>
        <v>4.8893540669856461E-2</v>
      </c>
    </row>
    <row r="220" spans="1:18" x14ac:dyDescent="0.3">
      <c r="A220" t="s">
        <v>281</v>
      </c>
      <c r="B220" t="s">
        <v>31</v>
      </c>
      <c r="C220" s="1">
        <v>45445</v>
      </c>
      <c r="D220" t="s">
        <v>68</v>
      </c>
      <c r="E220" t="s">
        <v>73</v>
      </c>
      <c r="F220">
        <v>1871</v>
      </c>
      <c r="G220">
        <v>252</v>
      </c>
      <c r="H220">
        <v>335</v>
      </c>
      <c r="I220">
        <v>29936</v>
      </c>
      <c r="J220">
        <v>29576</v>
      </c>
      <c r="K220">
        <v>288</v>
      </c>
      <c r="L220" t="s">
        <v>60</v>
      </c>
      <c r="M220" t="s">
        <v>15</v>
      </c>
      <c r="N220" s="2">
        <f>(Posts__2[[#This Row],[Likes]]+Posts__2[[#This Row],[Shares]]+Posts__2[[#This Row],[Comments]])/Posts__2[[#This Row],[Impressions]]</f>
        <v>8.2108498129342594E-2</v>
      </c>
      <c r="O220" s="7">
        <f>Posts__2[[#This Row],[Likes]]+Posts__2[[#This Row],[Shares]]+Posts__2[[#This Row],[Comments]]</f>
        <v>2458</v>
      </c>
      <c r="P220" s="7">
        <f>_xlfn.XLOOKUP(Posts__2[[#This Row],[Platform]],'Engagement Summary'!B:B,'Engagement Summary'!G:G,"NA",0)</f>
        <v>9566</v>
      </c>
      <c r="Q220" t="str">
        <f>IFERROR(IF(C220 &lt; _xlfn.XLOOKUP(M220, 'Campaign Metadata'!A:A, 'Campaign Metadata'!B:B), "Before", "During"), "Not Found")</f>
        <v>Before</v>
      </c>
      <c r="R220" s="13">
        <f>Posts__2[[#This Row],[Engagement]]/Posts__2[[#This Row],[Ad Spend]]</f>
        <v>0.25695170395149486</v>
      </c>
    </row>
    <row r="221" spans="1:18" x14ac:dyDescent="0.3">
      <c r="A221" t="s">
        <v>282</v>
      </c>
      <c r="B221" t="s">
        <v>30</v>
      </c>
      <c r="C221" s="1">
        <v>45617</v>
      </c>
      <c r="D221" t="s">
        <v>63</v>
      </c>
      <c r="E221" t="s">
        <v>91</v>
      </c>
      <c r="F221">
        <v>3773</v>
      </c>
      <c r="G221">
        <v>299</v>
      </c>
      <c r="H221">
        <v>38</v>
      </c>
      <c r="I221">
        <v>71687</v>
      </c>
      <c r="J221">
        <v>71447</v>
      </c>
      <c r="K221">
        <v>286</v>
      </c>
      <c r="L221" t="s">
        <v>48</v>
      </c>
      <c r="M221" t="s">
        <v>7</v>
      </c>
      <c r="N221" s="2">
        <f>(Posts__2[[#This Row],[Likes]]+Posts__2[[#This Row],[Shares]]+Posts__2[[#This Row],[Comments]])/Posts__2[[#This Row],[Impressions]]</f>
        <v>5.7332570758993957E-2</v>
      </c>
      <c r="O221" s="7">
        <f>Posts__2[[#This Row],[Likes]]+Posts__2[[#This Row],[Shares]]+Posts__2[[#This Row],[Comments]]</f>
        <v>4110</v>
      </c>
      <c r="P221" s="7">
        <f>_xlfn.XLOOKUP(Posts__2[[#This Row],[Platform]],'Engagement Summary'!B:B,'Engagement Summary'!G:G,"NA",0)</f>
        <v>5904</v>
      </c>
      <c r="Q221" t="str">
        <f>IFERROR(IF(C221 &lt; _xlfn.XLOOKUP(M221, 'Campaign Metadata'!A:A, 'Campaign Metadata'!B:B), "Before", "During"), "Not Found")</f>
        <v>During</v>
      </c>
      <c r="R221" s="13">
        <f>Posts__2[[#This Row],[Engagement]]/Posts__2[[#This Row],[Ad Spend]]</f>
        <v>0.69613821138211385</v>
      </c>
    </row>
    <row r="222" spans="1:18" x14ac:dyDescent="0.3">
      <c r="A222" t="s">
        <v>283</v>
      </c>
      <c r="B222" t="s">
        <v>30</v>
      </c>
      <c r="C222" s="1">
        <v>45658</v>
      </c>
      <c r="D222" t="s">
        <v>63</v>
      </c>
      <c r="E222" t="s">
        <v>91</v>
      </c>
      <c r="F222">
        <v>2234</v>
      </c>
      <c r="G222">
        <v>653</v>
      </c>
      <c r="H222">
        <v>432</v>
      </c>
      <c r="I222">
        <v>11170</v>
      </c>
      <c r="J222">
        <v>10569</v>
      </c>
      <c r="K222">
        <v>198</v>
      </c>
      <c r="L222" t="s">
        <v>48</v>
      </c>
      <c r="M222" t="s">
        <v>15</v>
      </c>
      <c r="N222" s="2">
        <f>(Posts__2[[#This Row],[Likes]]+Posts__2[[#This Row],[Shares]]+Posts__2[[#This Row],[Comments]])/Posts__2[[#This Row],[Impressions]]</f>
        <v>0.29713518352730528</v>
      </c>
      <c r="O222" s="7">
        <f>Posts__2[[#This Row],[Likes]]+Posts__2[[#This Row],[Shares]]+Posts__2[[#This Row],[Comments]]</f>
        <v>3319</v>
      </c>
      <c r="P222" s="7">
        <f>_xlfn.XLOOKUP(Posts__2[[#This Row],[Platform]],'Engagement Summary'!B:B,'Engagement Summary'!G:G,"NA",0)</f>
        <v>5904</v>
      </c>
      <c r="Q222" t="str">
        <f>IFERROR(IF(C222 &lt; _xlfn.XLOOKUP(M222, 'Campaign Metadata'!A:A, 'Campaign Metadata'!B:B), "Before", "During"), "Not Found")</f>
        <v>During</v>
      </c>
      <c r="R222" s="13">
        <f>Posts__2[[#This Row],[Engagement]]/Posts__2[[#This Row],[Ad Spend]]</f>
        <v>0.56216124661246614</v>
      </c>
    </row>
    <row r="223" spans="1:18" x14ac:dyDescent="0.3">
      <c r="A223" t="s">
        <v>284</v>
      </c>
      <c r="B223" t="s">
        <v>32</v>
      </c>
      <c r="C223" s="1">
        <v>45771</v>
      </c>
      <c r="D223" t="s">
        <v>82</v>
      </c>
      <c r="E223" t="s">
        <v>121</v>
      </c>
      <c r="F223">
        <v>3820</v>
      </c>
      <c r="G223">
        <v>697</v>
      </c>
      <c r="H223">
        <v>268</v>
      </c>
      <c r="I223">
        <v>45840</v>
      </c>
      <c r="J223">
        <v>45631</v>
      </c>
      <c r="K223">
        <v>171</v>
      </c>
      <c r="L223" t="s">
        <v>53</v>
      </c>
      <c r="M223" t="s">
        <v>19</v>
      </c>
      <c r="N223" s="2">
        <f>(Posts__2[[#This Row],[Likes]]+Posts__2[[#This Row],[Shares]]+Posts__2[[#This Row],[Comments]])/Posts__2[[#This Row],[Impressions]]</f>
        <v>0.1043848167539267</v>
      </c>
      <c r="O223" s="7">
        <f>Posts__2[[#This Row],[Likes]]+Posts__2[[#This Row],[Shares]]+Posts__2[[#This Row],[Comments]]</f>
        <v>4785</v>
      </c>
      <c r="P223" s="7">
        <f>_xlfn.XLOOKUP(Posts__2[[#This Row],[Platform]],'Engagement Summary'!B:B,'Engagement Summary'!G:G,"NA",0)</f>
        <v>26752</v>
      </c>
      <c r="Q223" t="str">
        <f>IFERROR(IF(C223 &lt; _xlfn.XLOOKUP(M223, 'Campaign Metadata'!A:A, 'Campaign Metadata'!B:B), "Before", "During"), "Not Found")</f>
        <v>During</v>
      </c>
      <c r="R223" s="13">
        <f>Posts__2[[#This Row],[Engagement]]/Posts__2[[#This Row],[Ad Spend]]</f>
        <v>0.17886513157894737</v>
      </c>
    </row>
    <row r="224" spans="1:18" x14ac:dyDescent="0.3">
      <c r="A224" t="s">
        <v>284</v>
      </c>
      <c r="B224" t="s">
        <v>32</v>
      </c>
      <c r="C224" s="1">
        <v>45771</v>
      </c>
      <c r="D224" t="s">
        <v>82</v>
      </c>
      <c r="E224" t="s">
        <v>121</v>
      </c>
      <c r="F224">
        <v>3820</v>
      </c>
      <c r="G224">
        <v>697</v>
      </c>
      <c r="H224">
        <v>268</v>
      </c>
      <c r="I224">
        <v>45840</v>
      </c>
      <c r="J224">
        <v>45631</v>
      </c>
      <c r="K224">
        <v>171</v>
      </c>
      <c r="L224" t="s">
        <v>18</v>
      </c>
      <c r="M224" t="s">
        <v>19</v>
      </c>
      <c r="N224" s="2">
        <f>(Posts__2[[#This Row],[Likes]]+Posts__2[[#This Row],[Shares]]+Posts__2[[#This Row],[Comments]])/Posts__2[[#This Row],[Impressions]]</f>
        <v>0.1043848167539267</v>
      </c>
      <c r="O224" s="7">
        <f>Posts__2[[#This Row],[Likes]]+Posts__2[[#This Row],[Shares]]+Posts__2[[#This Row],[Comments]]</f>
        <v>4785</v>
      </c>
      <c r="P224" s="7">
        <f>_xlfn.XLOOKUP(Posts__2[[#This Row],[Platform]],'Engagement Summary'!B:B,'Engagement Summary'!G:G,"NA",0)</f>
        <v>26752</v>
      </c>
      <c r="Q224" t="str">
        <f>IFERROR(IF(C224 &lt; _xlfn.XLOOKUP(M224, 'Campaign Metadata'!A:A, 'Campaign Metadata'!B:B), "Before", "During"), "Not Found")</f>
        <v>During</v>
      </c>
      <c r="R224" s="13">
        <f>Posts__2[[#This Row],[Engagement]]/Posts__2[[#This Row],[Ad Spend]]</f>
        <v>0.17886513157894737</v>
      </c>
    </row>
    <row r="225" spans="1:18" x14ac:dyDescent="0.3">
      <c r="A225" t="s">
        <v>285</v>
      </c>
      <c r="B225" t="s">
        <v>32</v>
      </c>
      <c r="C225" s="1">
        <v>45467</v>
      </c>
      <c r="D225" t="s">
        <v>51</v>
      </c>
      <c r="E225" t="s">
        <v>52</v>
      </c>
      <c r="F225">
        <v>941</v>
      </c>
      <c r="G225">
        <v>121</v>
      </c>
      <c r="H225">
        <v>458</v>
      </c>
      <c r="I225">
        <v>14115</v>
      </c>
      <c r="J225">
        <v>13838</v>
      </c>
      <c r="K225">
        <v>87</v>
      </c>
      <c r="L225" t="s">
        <v>60</v>
      </c>
      <c r="M225" t="s">
        <v>7</v>
      </c>
      <c r="N225" s="2">
        <f>(Posts__2[[#This Row],[Likes]]+Posts__2[[#This Row],[Shares]]+Posts__2[[#This Row],[Comments]])/Posts__2[[#This Row],[Impressions]]</f>
        <v>0.10768685795253277</v>
      </c>
      <c r="O225" s="7">
        <f>Posts__2[[#This Row],[Likes]]+Posts__2[[#This Row],[Shares]]+Posts__2[[#This Row],[Comments]]</f>
        <v>1520</v>
      </c>
      <c r="P225" s="7">
        <f>_xlfn.XLOOKUP(Posts__2[[#This Row],[Platform]],'Engagement Summary'!B:B,'Engagement Summary'!G:G,"NA",0)</f>
        <v>26752</v>
      </c>
      <c r="Q225" t="str">
        <f>IFERROR(IF(C225 &lt; _xlfn.XLOOKUP(M225, 'Campaign Metadata'!A:A, 'Campaign Metadata'!B:B), "Before", "During"), "Not Found")</f>
        <v>During</v>
      </c>
      <c r="R225" s="13">
        <f>Posts__2[[#This Row],[Engagement]]/Posts__2[[#This Row],[Ad Spend]]</f>
        <v>5.6818181818181816E-2</v>
      </c>
    </row>
    <row r="226" spans="1:18" x14ac:dyDescent="0.3">
      <c r="A226" t="s">
        <v>286</v>
      </c>
      <c r="B226" t="s">
        <v>32</v>
      </c>
      <c r="C226" s="1">
        <v>45655</v>
      </c>
      <c r="D226" t="s">
        <v>63</v>
      </c>
      <c r="E226" t="s">
        <v>66</v>
      </c>
      <c r="F226">
        <v>4274</v>
      </c>
      <c r="G226">
        <v>340</v>
      </c>
      <c r="H226">
        <v>281</v>
      </c>
      <c r="I226">
        <v>34192</v>
      </c>
      <c r="J226">
        <v>33446</v>
      </c>
      <c r="K226">
        <v>129</v>
      </c>
      <c r="L226" t="s">
        <v>53</v>
      </c>
      <c r="M226" t="s">
        <v>15</v>
      </c>
      <c r="N226" s="2">
        <f>(Posts__2[[#This Row],[Likes]]+Posts__2[[#This Row],[Shares]]+Posts__2[[#This Row],[Comments]])/Posts__2[[#This Row],[Impressions]]</f>
        <v>0.14316214319138981</v>
      </c>
      <c r="O226" s="7">
        <f>Posts__2[[#This Row],[Likes]]+Posts__2[[#This Row],[Shares]]+Posts__2[[#This Row],[Comments]]</f>
        <v>4895</v>
      </c>
      <c r="P226" s="7">
        <f>_xlfn.XLOOKUP(Posts__2[[#This Row],[Platform]],'Engagement Summary'!B:B,'Engagement Summary'!G:G,"NA",0)</f>
        <v>26752</v>
      </c>
      <c r="Q226" t="str">
        <f>IFERROR(IF(C226 &lt; _xlfn.XLOOKUP(M226, 'Campaign Metadata'!A:A, 'Campaign Metadata'!B:B), "Before", "During"), "Not Found")</f>
        <v>During</v>
      </c>
      <c r="R226" s="13">
        <f>Posts__2[[#This Row],[Engagement]]/Posts__2[[#This Row],[Ad Spend]]</f>
        <v>0.18297697368421054</v>
      </c>
    </row>
    <row r="227" spans="1:18" x14ac:dyDescent="0.3">
      <c r="A227" t="s">
        <v>286</v>
      </c>
      <c r="B227" t="s">
        <v>32</v>
      </c>
      <c r="C227" s="1">
        <v>45655</v>
      </c>
      <c r="D227" t="s">
        <v>63</v>
      </c>
      <c r="E227" t="s">
        <v>66</v>
      </c>
      <c r="F227">
        <v>4274</v>
      </c>
      <c r="G227">
        <v>340</v>
      </c>
      <c r="H227">
        <v>281</v>
      </c>
      <c r="I227">
        <v>34192</v>
      </c>
      <c r="J227">
        <v>33446</v>
      </c>
      <c r="K227">
        <v>129</v>
      </c>
      <c r="L227" t="s">
        <v>18</v>
      </c>
      <c r="M227" t="s">
        <v>15</v>
      </c>
      <c r="N227" s="2">
        <f>(Posts__2[[#This Row],[Likes]]+Posts__2[[#This Row],[Shares]]+Posts__2[[#This Row],[Comments]])/Posts__2[[#This Row],[Impressions]]</f>
        <v>0.14316214319138981</v>
      </c>
      <c r="O227" s="7">
        <f>Posts__2[[#This Row],[Likes]]+Posts__2[[#This Row],[Shares]]+Posts__2[[#This Row],[Comments]]</f>
        <v>4895</v>
      </c>
      <c r="P227" s="7">
        <f>_xlfn.XLOOKUP(Posts__2[[#This Row],[Platform]],'Engagement Summary'!B:B,'Engagement Summary'!G:G,"NA",0)</f>
        <v>26752</v>
      </c>
      <c r="Q227" t="str">
        <f>IFERROR(IF(C227 &lt; _xlfn.XLOOKUP(M227, 'Campaign Metadata'!A:A, 'Campaign Metadata'!B:B), "Before", "During"), "Not Found")</f>
        <v>During</v>
      </c>
      <c r="R227" s="13">
        <f>Posts__2[[#This Row],[Engagement]]/Posts__2[[#This Row],[Ad Spend]]</f>
        <v>0.18297697368421054</v>
      </c>
    </row>
    <row r="228" spans="1:18" x14ac:dyDescent="0.3">
      <c r="A228" t="s">
        <v>287</v>
      </c>
      <c r="B228" t="s">
        <v>33</v>
      </c>
      <c r="C228" s="1">
        <v>45467</v>
      </c>
      <c r="D228" t="s">
        <v>82</v>
      </c>
      <c r="E228" t="s">
        <v>162</v>
      </c>
      <c r="F228">
        <v>2949</v>
      </c>
      <c r="G228">
        <v>476</v>
      </c>
      <c r="H228">
        <v>403</v>
      </c>
      <c r="I228">
        <v>44235</v>
      </c>
      <c r="J228">
        <v>43705</v>
      </c>
      <c r="K228">
        <v>135</v>
      </c>
      <c r="L228" t="s">
        <v>53</v>
      </c>
      <c r="M228" t="s">
        <v>11</v>
      </c>
      <c r="N228" s="2">
        <f>(Posts__2[[#This Row],[Likes]]+Posts__2[[#This Row],[Shares]]+Posts__2[[#This Row],[Comments]])/Posts__2[[#This Row],[Impressions]]</f>
        <v>8.6537809426924378E-2</v>
      </c>
      <c r="O228" s="7">
        <f>Posts__2[[#This Row],[Likes]]+Posts__2[[#This Row],[Shares]]+Posts__2[[#This Row],[Comments]]</f>
        <v>3828</v>
      </c>
      <c r="P228" s="7">
        <f>_xlfn.XLOOKUP(Posts__2[[#This Row],[Platform]],'Engagement Summary'!B:B,'Engagement Summary'!G:G,"NA",0)</f>
        <v>30671</v>
      </c>
      <c r="Q228" t="str">
        <f>IFERROR(IF(C228 &lt; _xlfn.XLOOKUP(M228, 'Campaign Metadata'!A:A, 'Campaign Metadata'!B:B), "Before", "During"), "Not Found")</f>
        <v>Before</v>
      </c>
      <c r="R228" s="13">
        <f>Posts__2[[#This Row],[Engagement]]/Posts__2[[#This Row],[Ad Spend]]</f>
        <v>0.12480845097975286</v>
      </c>
    </row>
    <row r="229" spans="1:18" x14ac:dyDescent="0.3">
      <c r="A229" t="s">
        <v>288</v>
      </c>
      <c r="B229" t="s">
        <v>32</v>
      </c>
      <c r="C229" s="1">
        <v>45735</v>
      </c>
      <c r="D229" t="s">
        <v>82</v>
      </c>
      <c r="E229" t="s">
        <v>121</v>
      </c>
      <c r="F229">
        <v>3160</v>
      </c>
      <c r="G229">
        <v>204</v>
      </c>
      <c r="H229">
        <v>297</v>
      </c>
      <c r="I229">
        <v>44240</v>
      </c>
      <c r="J229">
        <v>43666</v>
      </c>
      <c r="K229">
        <v>49</v>
      </c>
      <c r="L229" t="s">
        <v>48</v>
      </c>
      <c r="M229" t="s">
        <v>19</v>
      </c>
      <c r="N229" s="2">
        <f>(Posts__2[[#This Row],[Likes]]+Posts__2[[#This Row],[Shares]]+Posts__2[[#This Row],[Comments]])/Posts__2[[#This Row],[Impressions]]</f>
        <v>8.2753164556962022E-2</v>
      </c>
      <c r="O229" s="7">
        <f>Posts__2[[#This Row],[Likes]]+Posts__2[[#This Row],[Shares]]+Posts__2[[#This Row],[Comments]]</f>
        <v>3661</v>
      </c>
      <c r="P229" s="7">
        <f>_xlfn.XLOOKUP(Posts__2[[#This Row],[Platform]],'Engagement Summary'!B:B,'Engagement Summary'!G:G,"NA",0)</f>
        <v>26752</v>
      </c>
      <c r="Q229" t="str">
        <f>IFERROR(IF(C229 &lt; _xlfn.XLOOKUP(M229, 'Campaign Metadata'!A:A, 'Campaign Metadata'!B:B), "Before", "During"), "Not Found")</f>
        <v>During</v>
      </c>
      <c r="R229" s="13">
        <f>Posts__2[[#This Row],[Engagement]]/Posts__2[[#This Row],[Ad Spend]]</f>
        <v>0.13684958133971292</v>
      </c>
    </row>
    <row r="230" spans="1:18" x14ac:dyDescent="0.3">
      <c r="A230" t="s">
        <v>288</v>
      </c>
      <c r="B230" t="s">
        <v>32</v>
      </c>
      <c r="C230" s="1">
        <v>45735</v>
      </c>
      <c r="D230" t="s">
        <v>82</v>
      </c>
      <c r="E230" t="s">
        <v>121</v>
      </c>
      <c r="F230">
        <v>3160</v>
      </c>
      <c r="G230">
        <v>204</v>
      </c>
      <c r="H230">
        <v>297</v>
      </c>
      <c r="I230">
        <v>44240</v>
      </c>
      <c r="J230">
        <v>43666</v>
      </c>
      <c r="K230">
        <v>49</v>
      </c>
      <c r="L230" t="s">
        <v>49</v>
      </c>
      <c r="M230" t="s">
        <v>19</v>
      </c>
      <c r="N230" s="2">
        <f>(Posts__2[[#This Row],[Likes]]+Posts__2[[#This Row],[Shares]]+Posts__2[[#This Row],[Comments]])/Posts__2[[#This Row],[Impressions]]</f>
        <v>8.2753164556962022E-2</v>
      </c>
      <c r="O230" s="7">
        <f>Posts__2[[#This Row],[Likes]]+Posts__2[[#This Row],[Shares]]+Posts__2[[#This Row],[Comments]]</f>
        <v>3661</v>
      </c>
      <c r="P230" s="7">
        <f>_xlfn.XLOOKUP(Posts__2[[#This Row],[Platform]],'Engagement Summary'!B:B,'Engagement Summary'!G:G,"NA",0)</f>
        <v>26752</v>
      </c>
      <c r="Q230" t="str">
        <f>IFERROR(IF(C230 &lt; _xlfn.XLOOKUP(M230, 'Campaign Metadata'!A:A, 'Campaign Metadata'!B:B), "Before", "During"), "Not Found")</f>
        <v>During</v>
      </c>
      <c r="R230" s="13">
        <f>Posts__2[[#This Row],[Engagement]]/Posts__2[[#This Row],[Ad Spend]]</f>
        <v>0.13684958133971292</v>
      </c>
    </row>
    <row r="231" spans="1:18" x14ac:dyDescent="0.3">
      <c r="A231" t="s">
        <v>289</v>
      </c>
      <c r="B231" t="s">
        <v>33</v>
      </c>
      <c r="C231" s="1">
        <v>45707</v>
      </c>
      <c r="D231" t="s">
        <v>68</v>
      </c>
      <c r="E231" t="s">
        <v>69</v>
      </c>
      <c r="F231">
        <v>257</v>
      </c>
      <c r="G231">
        <v>966</v>
      </c>
      <c r="H231">
        <v>398</v>
      </c>
      <c r="I231">
        <v>3341</v>
      </c>
      <c r="J231">
        <v>2753</v>
      </c>
      <c r="K231">
        <v>287</v>
      </c>
      <c r="L231" t="s">
        <v>48</v>
      </c>
      <c r="M231" t="s">
        <v>7</v>
      </c>
      <c r="N231" s="2">
        <f>(Posts__2[[#This Row],[Likes]]+Posts__2[[#This Row],[Shares]]+Posts__2[[#This Row],[Comments]])/Posts__2[[#This Row],[Impressions]]</f>
        <v>0.48518407662376534</v>
      </c>
      <c r="O231" s="7">
        <f>Posts__2[[#This Row],[Likes]]+Posts__2[[#This Row],[Shares]]+Posts__2[[#This Row],[Comments]]</f>
        <v>1621</v>
      </c>
      <c r="P231" s="7">
        <f>_xlfn.XLOOKUP(Posts__2[[#This Row],[Platform]],'Engagement Summary'!B:B,'Engagement Summary'!G:G,"NA",0)</f>
        <v>30671</v>
      </c>
      <c r="Q231" t="str">
        <f>IFERROR(IF(C231 &lt; _xlfn.XLOOKUP(M231, 'Campaign Metadata'!A:A, 'Campaign Metadata'!B:B), "Before", "During"), "Not Found")</f>
        <v>During</v>
      </c>
      <c r="R231" s="13">
        <f>Posts__2[[#This Row],[Engagement]]/Posts__2[[#This Row],[Ad Spend]]</f>
        <v>5.285122754393401E-2</v>
      </c>
    </row>
    <row r="232" spans="1:18" x14ac:dyDescent="0.3">
      <c r="A232" t="s">
        <v>290</v>
      </c>
      <c r="B232" t="s">
        <v>32</v>
      </c>
      <c r="C232" s="1">
        <v>45491</v>
      </c>
      <c r="D232" t="s">
        <v>63</v>
      </c>
      <c r="E232" t="s">
        <v>66</v>
      </c>
      <c r="F232">
        <v>2120</v>
      </c>
      <c r="G232">
        <v>38</v>
      </c>
      <c r="H232">
        <v>212</v>
      </c>
      <c r="I232">
        <v>12720</v>
      </c>
      <c r="J232">
        <v>12564</v>
      </c>
      <c r="K232">
        <v>21</v>
      </c>
      <c r="L232" t="s">
        <v>48</v>
      </c>
      <c r="M232" t="s">
        <v>19</v>
      </c>
      <c r="N232" s="2">
        <f>(Posts__2[[#This Row],[Likes]]+Posts__2[[#This Row],[Shares]]+Posts__2[[#This Row],[Comments]])/Posts__2[[#This Row],[Impressions]]</f>
        <v>0.18632075471698112</v>
      </c>
      <c r="O232" s="7">
        <f>Posts__2[[#This Row],[Likes]]+Posts__2[[#This Row],[Shares]]+Posts__2[[#This Row],[Comments]]</f>
        <v>2370</v>
      </c>
      <c r="P232" s="7">
        <f>_xlfn.XLOOKUP(Posts__2[[#This Row],[Platform]],'Engagement Summary'!B:B,'Engagement Summary'!G:G,"NA",0)</f>
        <v>26752</v>
      </c>
      <c r="Q232" t="str">
        <f>IFERROR(IF(C232 &lt; _xlfn.XLOOKUP(M232, 'Campaign Metadata'!A:A, 'Campaign Metadata'!B:B), "Before", "During"), "Not Found")</f>
        <v>Before</v>
      </c>
      <c r="R232" s="13">
        <f>Posts__2[[#This Row],[Engagement]]/Posts__2[[#This Row],[Ad Spend]]</f>
        <v>8.8591507177033499E-2</v>
      </c>
    </row>
    <row r="233" spans="1:18" x14ac:dyDescent="0.3">
      <c r="A233" t="s">
        <v>291</v>
      </c>
      <c r="B233" t="s">
        <v>33</v>
      </c>
      <c r="C233" s="1">
        <v>45719</v>
      </c>
      <c r="D233" t="s">
        <v>82</v>
      </c>
      <c r="E233" t="s">
        <v>162</v>
      </c>
      <c r="F233">
        <v>3874</v>
      </c>
      <c r="G233">
        <v>884</v>
      </c>
      <c r="H233">
        <v>19</v>
      </c>
      <c r="I233">
        <v>38740</v>
      </c>
      <c r="J233">
        <v>38552</v>
      </c>
      <c r="K233">
        <v>219</v>
      </c>
      <c r="L233" t="s">
        <v>53</v>
      </c>
      <c r="M233" t="s">
        <v>11</v>
      </c>
      <c r="N233" s="2">
        <f>(Posts__2[[#This Row],[Likes]]+Posts__2[[#This Row],[Shares]]+Posts__2[[#This Row],[Comments]])/Posts__2[[#This Row],[Impressions]]</f>
        <v>0.123309241094476</v>
      </c>
      <c r="O233" s="7">
        <f>Posts__2[[#This Row],[Likes]]+Posts__2[[#This Row],[Shares]]+Posts__2[[#This Row],[Comments]]</f>
        <v>4777</v>
      </c>
      <c r="P233" s="7">
        <f>_xlfn.XLOOKUP(Posts__2[[#This Row],[Platform]],'Engagement Summary'!B:B,'Engagement Summary'!G:G,"NA",0)</f>
        <v>30671</v>
      </c>
      <c r="Q233" t="str">
        <f>IFERROR(IF(C233 &lt; _xlfn.XLOOKUP(M233, 'Campaign Metadata'!A:A, 'Campaign Metadata'!B:B), "Before", "During"), "Not Found")</f>
        <v>During</v>
      </c>
      <c r="R233" s="13">
        <f>Posts__2[[#This Row],[Engagement]]/Posts__2[[#This Row],[Ad Spend]]</f>
        <v>0.15574973101626943</v>
      </c>
    </row>
    <row r="234" spans="1:18" x14ac:dyDescent="0.3">
      <c r="A234" t="s">
        <v>292</v>
      </c>
      <c r="B234" t="s">
        <v>31</v>
      </c>
      <c r="C234" s="1">
        <v>45778</v>
      </c>
      <c r="D234" t="s">
        <v>63</v>
      </c>
      <c r="E234" t="s">
        <v>64</v>
      </c>
      <c r="F234">
        <v>2696</v>
      </c>
      <c r="G234">
        <v>628</v>
      </c>
      <c r="H234">
        <v>443</v>
      </c>
      <c r="I234">
        <v>45832</v>
      </c>
      <c r="J234">
        <v>45632</v>
      </c>
      <c r="K234">
        <v>248</v>
      </c>
      <c r="L234" t="s">
        <v>60</v>
      </c>
      <c r="M234" t="s">
        <v>19</v>
      </c>
      <c r="N234" s="2">
        <f>(Posts__2[[#This Row],[Likes]]+Posts__2[[#This Row],[Shares]]+Posts__2[[#This Row],[Comments]])/Posts__2[[#This Row],[Impressions]]</f>
        <v>8.21914819340199E-2</v>
      </c>
      <c r="O234" s="7">
        <f>Posts__2[[#This Row],[Likes]]+Posts__2[[#This Row],[Shares]]+Posts__2[[#This Row],[Comments]]</f>
        <v>3767</v>
      </c>
      <c r="P234" s="7">
        <f>_xlfn.XLOOKUP(Posts__2[[#This Row],[Platform]],'Engagement Summary'!B:B,'Engagement Summary'!G:G,"NA",0)</f>
        <v>9566</v>
      </c>
      <c r="Q234" t="str">
        <f>IFERROR(IF(C234 &lt; _xlfn.XLOOKUP(M234, 'Campaign Metadata'!A:A, 'Campaign Metadata'!B:B), "Before", "During"), "Not Found")</f>
        <v>During</v>
      </c>
      <c r="R234" s="13">
        <f>Posts__2[[#This Row],[Engagement]]/Posts__2[[#This Row],[Ad Spend]]</f>
        <v>0.3937905080493414</v>
      </c>
    </row>
    <row r="235" spans="1:18" x14ac:dyDescent="0.3">
      <c r="A235" t="s">
        <v>293</v>
      </c>
      <c r="B235" t="s">
        <v>30</v>
      </c>
      <c r="C235" s="1">
        <v>45649</v>
      </c>
      <c r="D235" t="s">
        <v>68</v>
      </c>
      <c r="E235" t="s">
        <v>160</v>
      </c>
      <c r="F235">
        <v>521</v>
      </c>
      <c r="G235">
        <v>746</v>
      </c>
      <c r="H235">
        <v>315</v>
      </c>
      <c r="I235">
        <v>4168</v>
      </c>
      <c r="J235">
        <v>3399</v>
      </c>
      <c r="K235">
        <v>282</v>
      </c>
      <c r="L235" t="s">
        <v>48</v>
      </c>
      <c r="M235" t="s">
        <v>11</v>
      </c>
      <c r="N235" s="2">
        <f>(Posts__2[[#This Row],[Likes]]+Posts__2[[#This Row],[Shares]]+Posts__2[[#This Row],[Comments]])/Posts__2[[#This Row],[Impressions]]</f>
        <v>0.37955854126679461</v>
      </c>
      <c r="O235" s="7">
        <f>Posts__2[[#This Row],[Likes]]+Posts__2[[#This Row],[Shares]]+Posts__2[[#This Row],[Comments]]</f>
        <v>1582</v>
      </c>
      <c r="P235" s="7">
        <f>_xlfn.XLOOKUP(Posts__2[[#This Row],[Platform]],'Engagement Summary'!B:B,'Engagement Summary'!G:G,"NA",0)</f>
        <v>5904</v>
      </c>
      <c r="Q235" t="str">
        <f>IFERROR(IF(C235 &lt; _xlfn.XLOOKUP(M235, 'Campaign Metadata'!A:A, 'Campaign Metadata'!B:B), "Before", "During"), "Not Found")</f>
        <v>During</v>
      </c>
      <c r="R235" s="13">
        <f>Posts__2[[#This Row],[Engagement]]/Posts__2[[#This Row],[Ad Spend]]</f>
        <v>0.26795392953929537</v>
      </c>
    </row>
    <row r="236" spans="1:18" x14ac:dyDescent="0.3">
      <c r="A236" t="s">
        <v>294</v>
      </c>
      <c r="B236" t="s">
        <v>31</v>
      </c>
      <c r="C236" s="1">
        <v>45783</v>
      </c>
      <c r="D236" t="s">
        <v>68</v>
      </c>
      <c r="E236" t="s">
        <v>73</v>
      </c>
      <c r="F236">
        <v>4872</v>
      </c>
      <c r="G236">
        <v>925</v>
      </c>
      <c r="H236">
        <v>176</v>
      </c>
      <c r="I236">
        <v>82824</v>
      </c>
      <c r="J236">
        <v>82543</v>
      </c>
      <c r="K236">
        <v>89</v>
      </c>
      <c r="L236" t="s">
        <v>60</v>
      </c>
      <c r="M236" t="s">
        <v>11</v>
      </c>
      <c r="N236" s="2">
        <f>(Posts__2[[#This Row],[Likes]]+Posts__2[[#This Row],[Shares]]+Posts__2[[#This Row],[Comments]])/Posts__2[[#This Row],[Impressions]]</f>
        <v>7.2116777745580993E-2</v>
      </c>
      <c r="O236" s="7">
        <f>Posts__2[[#This Row],[Likes]]+Posts__2[[#This Row],[Shares]]+Posts__2[[#This Row],[Comments]]</f>
        <v>5973</v>
      </c>
      <c r="P236" s="7">
        <f>_xlfn.XLOOKUP(Posts__2[[#This Row],[Platform]],'Engagement Summary'!B:B,'Engagement Summary'!G:G,"NA",0)</f>
        <v>9566</v>
      </c>
      <c r="Q236" t="str">
        <f>IFERROR(IF(C236 &lt; _xlfn.XLOOKUP(M236, 'Campaign Metadata'!A:A, 'Campaign Metadata'!B:B), "Before", "During"), "Not Found")</f>
        <v>During</v>
      </c>
      <c r="R236" s="13">
        <f>Posts__2[[#This Row],[Engagement]]/Posts__2[[#This Row],[Ad Spend]]</f>
        <v>0.62439891281622417</v>
      </c>
    </row>
    <row r="237" spans="1:18" x14ac:dyDescent="0.3">
      <c r="A237" t="s">
        <v>295</v>
      </c>
      <c r="B237" t="s">
        <v>33</v>
      </c>
      <c r="C237" s="1">
        <v>45502</v>
      </c>
      <c r="D237" t="s">
        <v>58</v>
      </c>
      <c r="E237" t="s">
        <v>127</v>
      </c>
      <c r="F237">
        <v>1509</v>
      </c>
      <c r="G237">
        <v>88</v>
      </c>
      <c r="H237">
        <v>163</v>
      </c>
      <c r="I237">
        <v>30180</v>
      </c>
      <c r="J237">
        <v>29689</v>
      </c>
      <c r="K237">
        <v>119</v>
      </c>
      <c r="L237" t="s">
        <v>60</v>
      </c>
      <c r="M237" t="s">
        <v>11</v>
      </c>
      <c r="N237" s="2">
        <f>(Posts__2[[#This Row],[Likes]]+Posts__2[[#This Row],[Shares]]+Posts__2[[#This Row],[Comments]])/Posts__2[[#This Row],[Impressions]]</f>
        <v>5.8316766070245198E-2</v>
      </c>
      <c r="O237" s="7">
        <f>Posts__2[[#This Row],[Likes]]+Posts__2[[#This Row],[Shares]]+Posts__2[[#This Row],[Comments]]</f>
        <v>1760</v>
      </c>
      <c r="P237" s="7">
        <f>_xlfn.XLOOKUP(Posts__2[[#This Row],[Platform]],'Engagement Summary'!B:B,'Engagement Summary'!G:G,"NA",0)</f>
        <v>30671</v>
      </c>
      <c r="Q237" t="str">
        <f>IFERROR(IF(C237 &lt; _xlfn.XLOOKUP(M237, 'Campaign Metadata'!A:A, 'Campaign Metadata'!B:B), "Before", "During"), "Not Found")</f>
        <v>Before</v>
      </c>
      <c r="R237" s="13">
        <f>Posts__2[[#This Row],[Engagement]]/Posts__2[[#This Row],[Ad Spend]]</f>
        <v>5.7383195852759937E-2</v>
      </c>
    </row>
    <row r="238" spans="1:18" x14ac:dyDescent="0.3">
      <c r="A238" t="s">
        <v>296</v>
      </c>
      <c r="B238" t="s">
        <v>31</v>
      </c>
      <c r="C238" s="1">
        <v>45629</v>
      </c>
      <c r="D238" t="s">
        <v>68</v>
      </c>
      <c r="E238" t="s">
        <v>73</v>
      </c>
      <c r="F238">
        <v>4606</v>
      </c>
      <c r="G238">
        <v>931</v>
      </c>
      <c r="H238">
        <v>230</v>
      </c>
      <c r="I238">
        <v>92120</v>
      </c>
      <c r="J238">
        <v>91440</v>
      </c>
      <c r="K238">
        <v>56</v>
      </c>
      <c r="L238" t="s">
        <v>53</v>
      </c>
      <c r="M238" t="s">
        <v>380</v>
      </c>
      <c r="N238" s="2">
        <f>(Posts__2[[#This Row],[Likes]]+Posts__2[[#This Row],[Shares]]+Posts__2[[#This Row],[Comments]])/Posts__2[[#This Row],[Impressions]]</f>
        <v>6.2603126356925748E-2</v>
      </c>
      <c r="O238" s="7">
        <f>Posts__2[[#This Row],[Likes]]+Posts__2[[#This Row],[Shares]]+Posts__2[[#This Row],[Comments]]</f>
        <v>5767</v>
      </c>
      <c r="P238" s="7">
        <f>_xlfn.XLOOKUP(Posts__2[[#This Row],[Platform]],'Engagement Summary'!B:B,'Engagement Summary'!G:G,"NA",0)</f>
        <v>9566</v>
      </c>
      <c r="Q238" t="str">
        <f>IFERROR(IF(C238 &lt; _xlfn.XLOOKUP(M238, 'Campaign Metadata'!A:A, 'Campaign Metadata'!B:B), "Before", "During"), "Not Found")</f>
        <v>Not Found</v>
      </c>
      <c r="R238" s="13">
        <f>Posts__2[[#This Row],[Engagement]]/Posts__2[[#This Row],[Ad Spend]]</f>
        <v>0.60286431110181893</v>
      </c>
    </row>
    <row r="239" spans="1:18" x14ac:dyDescent="0.3">
      <c r="A239" t="s">
        <v>297</v>
      </c>
      <c r="B239" t="s">
        <v>31</v>
      </c>
      <c r="C239" s="1">
        <v>45454</v>
      </c>
      <c r="D239" t="s">
        <v>63</v>
      </c>
      <c r="E239" t="s">
        <v>64</v>
      </c>
      <c r="F239">
        <v>1869</v>
      </c>
      <c r="G239">
        <v>453</v>
      </c>
      <c r="H239">
        <v>490</v>
      </c>
      <c r="I239">
        <v>14952</v>
      </c>
      <c r="J239">
        <v>14309</v>
      </c>
      <c r="K239">
        <v>275</v>
      </c>
      <c r="L239" t="s">
        <v>53</v>
      </c>
      <c r="M239" t="s">
        <v>19</v>
      </c>
      <c r="N239" s="2">
        <f>(Posts__2[[#This Row],[Likes]]+Posts__2[[#This Row],[Shares]]+Posts__2[[#This Row],[Comments]])/Posts__2[[#This Row],[Impressions]]</f>
        <v>0.18806848582129482</v>
      </c>
      <c r="O239" s="7">
        <f>Posts__2[[#This Row],[Likes]]+Posts__2[[#This Row],[Shares]]+Posts__2[[#This Row],[Comments]]</f>
        <v>2812</v>
      </c>
      <c r="P239" s="7">
        <f>_xlfn.XLOOKUP(Posts__2[[#This Row],[Platform]],'Engagement Summary'!B:B,'Engagement Summary'!G:G,"NA",0)</f>
        <v>9566</v>
      </c>
      <c r="Q239" t="str">
        <f>IFERROR(IF(C239 &lt; _xlfn.XLOOKUP(M239, 'Campaign Metadata'!A:A, 'Campaign Metadata'!B:B), "Before", "During"), "Not Found")</f>
        <v>Before</v>
      </c>
      <c r="R239" s="13">
        <f>Posts__2[[#This Row],[Engagement]]/Posts__2[[#This Row],[Ad Spend]]</f>
        <v>0.2939577670917834</v>
      </c>
    </row>
    <row r="240" spans="1:18" x14ac:dyDescent="0.3">
      <c r="A240" t="s">
        <v>298</v>
      </c>
      <c r="B240" t="s">
        <v>32</v>
      </c>
      <c r="C240" s="1">
        <v>45685</v>
      </c>
      <c r="D240" t="s">
        <v>46</v>
      </c>
      <c r="E240" t="s">
        <v>47</v>
      </c>
      <c r="F240">
        <v>1188</v>
      </c>
      <c r="G240">
        <v>470</v>
      </c>
      <c r="H240">
        <v>174</v>
      </c>
      <c r="I240">
        <v>7128</v>
      </c>
      <c r="J240">
        <v>6145</v>
      </c>
      <c r="K240">
        <v>270</v>
      </c>
      <c r="L240" t="s">
        <v>53</v>
      </c>
      <c r="M240" t="s">
        <v>19</v>
      </c>
      <c r="N240" s="2">
        <f>(Posts__2[[#This Row],[Likes]]+Posts__2[[#This Row],[Shares]]+Posts__2[[#This Row],[Comments]])/Posts__2[[#This Row],[Impressions]]</f>
        <v>0.25701459034792368</v>
      </c>
      <c r="O240" s="7">
        <f>Posts__2[[#This Row],[Likes]]+Posts__2[[#This Row],[Shares]]+Posts__2[[#This Row],[Comments]]</f>
        <v>1832</v>
      </c>
      <c r="P240" s="7">
        <f>_xlfn.XLOOKUP(Posts__2[[#This Row],[Platform]],'Engagement Summary'!B:B,'Engagement Summary'!G:G,"NA",0)</f>
        <v>26752</v>
      </c>
      <c r="Q240" t="str">
        <f>IFERROR(IF(C240 &lt; _xlfn.XLOOKUP(M240, 'Campaign Metadata'!A:A, 'Campaign Metadata'!B:B), "Before", "During"), "Not Found")</f>
        <v>Before</v>
      </c>
      <c r="R240" s="13">
        <f>Posts__2[[#This Row],[Engagement]]/Posts__2[[#This Row],[Ad Spend]]</f>
        <v>6.8480861244019142E-2</v>
      </c>
    </row>
    <row r="241" spans="1:18" x14ac:dyDescent="0.3">
      <c r="A241" t="s">
        <v>299</v>
      </c>
      <c r="B241" t="s">
        <v>30</v>
      </c>
      <c r="C241" s="1">
        <v>45445</v>
      </c>
      <c r="D241" t="s">
        <v>58</v>
      </c>
      <c r="E241" t="s">
        <v>59</v>
      </c>
      <c r="F241">
        <v>84</v>
      </c>
      <c r="G241">
        <v>897</v>
      </c>
      <c r="H241">
        <v>85</v>
      </c>
      <c r="I241">
        <v>588</v>
      </c>
      <c r="J241">
        <v>8</v>
      </c>
      <c r="K241">
        <v>12</v>
      </c>
      <c r="L241" t="s">
        <v>60</v>
      </c>
      <c r="M241" t="s">
        <v>380</v>
      </c>
      <c r="N241" s="2">
        <f>(Posts__2[[#This Row],[Likes]]+Posts__2[[#This Row],[Shares]]+Posts__2[[#This Row],[Comments]])/Posts__2[[#This Row],[Impressions]]</f>
        <v>1.8129251700680271</v>
      </c>
      <c r="O241" s="7">
        <f>Posts__2[[#This Row],[Likes]]+Posts__2[[#This Row],[Shares]]+Posts__2[[#This Row],[Comments]]</f>
        <v>1066</v>
      </c>
      <c r="P241" s="7">
        <f>_xlfn.XLOOKUP(Posts__2[[#This Row],[Platform]],'Engagement Summary'!B:B,'Engagement Summary'!G:G,"NA",0)</f>
        <v>5904</v>
      </c>
      <c r="Q241" t="str">
        <f>IFERROR(IF(C241 &lt; _xlfn.XLOOKUP(M241, 'Campaign Metadata'!A:A, 'Campaign Metadata'!B:B), "Before", "During"), "Not Found")</f>
        <v>Not Found</v>
      </c>
      <c r="R241" s="13">
        <f>Posts__2[[#This Row],[Engagement]]/Posts__2[[#This Row],[Ad Spend]]</f>
        <v>0.18055555555555555</v>
      </c>
    </row>
    <row r="242" spans="1:18" x14ac:dyDescent="0.3">
      <c r="A242" t="s">
        <v>300</v>
      </c>
      <c r="B242" t="s">
        <v>31</v>
      </c>
      <c r="C242" s="1">
        <v>45739</v>
      </c>
      <c r="D242" t="s">
        <v>82</v>
      </c>
      <c r="E242" t="s">
        <v>83</v>
      </c>
      <c r="F242">
        <v>4453</v>
      </c>
      <c r="G242">
        <v>111</v>
      </c>
      <c r="H242">
        <v>420</v>
      </c>
      <c r="I242">
        <v>31171</v>
      </c>
      <c r="J242">
        <v>30565</v>
      </c>
      <c r="K242">
        <v>23</v>
      </c>
      <c r="L242" t="s">
        <v>53</v>
      </c>
      <c r="M242" t="s">
        <v>380</v>
      </c>
      <c r="N242" s="2">
        <f>(Posts__2[[#This Row],[Likes]]+Posts__2[[#This Row],[Shares]]+Posts__2[[#This Row],[Comments]])/Posts__2[[#This Row],[Impressions]]</f>
        <v>0.15989220750056141</v>
      </c>
      <c r="O242" s="7">
        <f>Posts__2[[#This Row],[Likes]]+Posts__2[[#This Row],[Shares]]+Posts__2[[#This Row],[Comments]]</f>
        <v>4984</v>
      </c>
      <c r="P242" s="7">
        <f>_xlfn.XLOOKUP(Posts__2[[#This Row],[Platform]],'Engagement Summary'!B:B,'Engagement Summary'!G:G,"NA",0)</f>
        <v>9566</v>
      </c>
      <c r="Q242" t="str">
        <f>IFERROR(IF(C242 &lt; _xlfn.XLOOKUP(M242, 'Campaign Metadata'!A:A, 'Campaign Metadata'!B:B), "Before", "During"), "Not Found")</f>
        <v>Not Found</v>
      </c>
      <c r="R242" s="13">
        <f>Posts__2[[#This Row],[Engagement]]/Posts__2[[#This Row],[Ad Spend]]</f>
        <v>0.52101191720677398</v>
      </c>
    </row>
    <row r="243" spans="1:18" x14ac:dyDescent="0.3">
      <c r="A243" t="s">
        <v>301</v>
      </c>
      <c r="B243" t="s">
        <v>31</v>
      </c>
      <c r="C243" s="1">
        <v>45573</v>
      </c>
      <c r="D243" t="s">
        <v>46</v>
      </c>
      <c r="E243" t="s">
        <v>76</v>
      </c>
      <c r="F243">
        <v>1814</v>
      </c>
      <c r="G243">
        <v>653</v>
      </c>
      <c r="H243">
        <v>363</v>
      </c>
      <c r="I243">
        <v>25396</v>
      </c>
      <c r="J243">
        <v>25286</v>
      </c>
      <c r="K243">
        <v>39</v>
      </c>
      <c r="L243" t="s">
        <v>48</v>
      </c>
      <c r="M243" t="s">
        <v>7</v>
      </c>
      <c r="N243" s="2">
        <f>(Posts__2[[#This Row],[Likes]]+Posts__2[[#This Row],[Shares]]+Posts__2[[#This Row],[Comments]])/Posts__2[[#This Row],[Impressions]]</f>
        <v>0.11143487163332809</v>
      </c>
      <c r="O243" s="7">
        <f>Posts__2[[#This Row],[Likes]]+Posts__2[[#This Row],[Shares]]+Posts__2[[#This Row],[Comments]]</f>
        <v>2830</v>
      </c>
      <c r="P243" s="7">
        <f>_xlfn.XLOOKUP(Posts__2[[#This Row],[Platform]],'Engagement Summary'!B:B,'Engagement Summary'!G:G,"NA",0)</f>
        <v>9566</v>
      </c>
      <c r="Q243" t="str">
        <f>IFERROR(IF(C243 &lt; _xlfn.XLOOKUP(M243, 'Campaign Metadata'!A:A, 'Campaign Metadata'!B:B), "Before", "During"), "Not Found")</f>
        <v>During</v>
      </c>
      <c r="R243" s="13">
        <f>Posts__2[[#This Row],[Engagement]]/Posts__2[[#This Row],[Ad Spend]]</f>
        <v>0.29583943131925572</v>
      </c>
    </row>
    <row r="244" spans="1:18" x14ac:dyDescent="0.3">
      <c r="A244" t="s">
        <v>301</v>
      </c>
      <c r="B244" t="s">
        <v>31</v>
      </c>
      <c r="C244" s="1">
        <v>45573</v>
      </c>
      <c r="D244" t="s">
        <v>46</v>
      </c>
      <c r="E244" t="s">
        <v>76</v>
      </c>
      <c r="F244">
        <v>1814</v>
      </c>
      <c r="G244">
        <v>653</v>
      </c>
      <c r="H244">
        <v>363</v>
      </c>
      <c r="I244">
        <v>25396</v>
      </c>
      <c r="J244">
        <v>25286</v>
      </c>
      <c r="K244">
        <v>39</v>
      </c>
      <c r="L244" t="s">
        <v>18</v>
      </c>
      <c r="M244" t="s">
        <v>7</v>
      </c>
      <c r="N244" s="2">
        <f>(Posts__2[[#This Row],[Likes]]+Posts__2[[#This Row],[Shares]]+Posts__2[[#This Row],[Comments]])/Posts__2[[#This Row],[Impressions]]</f>
        <v>0.11143487163332809</v>
      </c>
      <c r="O244" s="7">
        <f>Posts__2[[#This Row],[Likes]]+Posts__2[[#This Row],[Shares]]+Posts__2[[#This Row],[Comments]]</f>
        <v>2830</v>
      </c>
      <c r="P244" s="7">
        <f>_xlfn.XLOOKUP(Posts__2[[#This Row],[Platform]],'Engagement Summary'!B:B,'Engagement Summary'!G:G,"NA",0)</f>
        <v>9566</v>
      </c>
      <c r="Q244" t="str">
        <f>IFERROR(IF(C244 &lt; _xlfn.XLOOKUP(M244, 'Campaign Metadata'!A:A, 'Campaign Metadata'!B:B), "Before", "During"), "Not Found")</f>
        <v>During</v>
      </c>
      <c r="R244" s="13">
        <f>Posts__2[[#This Row],[Engagement]]/Posts__2[[#This Row],[Ad Spend]]</f>
        <v>0.29583943131925572</v>
      </c>
    </row>
    <row r="245" spans="1:18" x14ac:dyDescent="0.3">
      <c r="A245" t="s">
        <v>302</v>
      </c>
      <c r="B245" t="s">
        <v>32</v>
      </c>
      <c r="C245" s="1">
        <v>45608</v>
      </c>
      <c r="D245" t="s">
        <v>68</v>
      </c>
      <c r="E245" t="s">
        <v>114</v>
      </c>
      <c r="F245">
        <v>3338</v>
      </c>
      <c r="G245">
        <v>277</v>
      </c>
      <c r="H245">
        <v>118</v>
      </c>
      <c r="I245">
        <v>60084</v>
      </c>
      <c r="J245">
        <v>59842</v>
      </c>
      <c r="K245">
        <v>252</v>
      </c>
      <c r="L245" t="s">
        <v>53</v>
      </c>
      <c r="M245" t="s">
        <v>380</v>
      </c>
      <c r="N245" s="2">
        <f>(Posts__2[[#This Row],[Likes]]+Posts__2[[#This Row],[Shares]]+Posts__2[[#This Row],[Comments]])/Posts__2[[#This Row],[Impressions]]</f>
        <v>6.2129685107516146E-2</v>
      </c>
      <c r="O245" s="7">
        <f>Posts__2[[#This Row],[Likes]]+Posts__2[[#This Row],[Shares]]+Posts__2[[#This Row],[Comments]]</f>
        <v>3733</v>
      </c>
      <c r="P245" s="7">
        <f>_xlfn.XLOOKUP(Posts__2[[#This Row],[Platform]],'Engagement Summary'!B:B,'Engagement Summary'!G:G,"NA",0)</f>
        <v>26752</v>
      </c>
      <c r="Q245" t="str">
        <f>IFERROR(IF(C245 &lt; _xlfn.XLOOKUP(M245, 'Campaign Metadata'!A:A, 'Campaign Metadata'!B:B), "Before", "During"), "Not Found")</f>
        <v>Not Found</v>
      </c>
      <c r="R245" s="13">
        <f>Posts__2[[#This Row],[Engagement]]/Posts__2[[#This Row],[Ad Spend]]</f>
        <v>0.13954096889952153</v>
      </c>
    </row>
    <row r="246" spans="1:18" x14ac:dyDescent="0.3">
      <c r="A246" t="s">
        <v>303</v>
      </c>
      <c r="B246" t="s">
        <v>31</v>
      </c>
      <c r="C246" s="1">
        <v>45790</v>
      </c>
      <c r="D246" t="s">
        <v>68</v>
      </c>
      <c r="E246" t="s">
        <v>73</v>
      </c>
      <c r="F246">
        <v>602</v>
      </c>
      <c r="G246">
        <v>594</v>
      </c>
      <c r="H246">
        <v>156</v>
      </c>
      <c r="I246">
        <v>4214</v>
      </c>
      <c r="J246">
        <v>3363</v>
      </c>
      <c r="K246">
        <v>164</v>
      </c>
      <c r="L246" t="s">
        <v>53</v>
      </c>
      <c r="M246" t="s">
        <v>15</v>
      </c>
      <c r="N246" s="2">
        <f>(Posts__2[[#This Row],[Likes]]+Posts__2[[#This Row],[Shares]]+Posts__2[[#This Row],[Comments]])/Posts__2[[#This Row],[Impressions]]</f>
        <v>0.32083531086853345</v>
      </c>
      <c r="O246" s="7">
        <f>Posts__2[[#This Row],[Likes]]+Posts__2[[#This Row],[Shares]]+Posts__2[[#This Row],[Comments]]</f>
        <v>1352</v>
      </c>
      <c r="P246" s="7">
        <f>_xlfn.XLOOKUP(Posts__2[[#This Row],[Platform]],'Engagement Summary'!B:B,'Engagement Summary'!G:G,"NA",0)</f>
        <v>9566</v>
      </c>
      <c r="Q246" t="str">
        <f>IFERROR(IF(C246 &lt; _xlfn.XLOOKUP(M246, 'Campaign Metadata'!A:A, 'Campaign Metadata'!B:B), "Before", "During"), "Not Found")</f>
        <v>During</v>
      </c>
      <c r="R246" s="13">
        <f>Posts__2[[#This Row],[Engagement]]/Posts__2[[#This Row],[Ad Spend]]</f>
        <v>0.14133389086347481</v>
      </c>
    </row>
    <row r="247" spans="1:18" x14ac:dyDescent="0.3">
      <c r="A247" t="s">
        <v>304</v>
      </c>
      <c r="B247" t="s">
        <v>32</v>
      </c>
      <c r="C247" s="1">
        <v>45463</v>
      </c>
      <c r="D247" t="s">
        <v>63</v>
      </c>
      <c r="E247" t="s">
        <v>66</v>
      </c>
      <c r="F247">
        <v>4672</v>
      </c>
      <c r="G247">
        <v>325</v>
      </c>
      <c r="H247">
        <v>32</v>
      </c>
      <c r="I247">
        <v>88768</v>
      </c>
      <c r="J247">
        <v>87833</v>
      </c>
      <c r="K247">
        <v>118</v>
      </c>
      <c r="L247" t="s">
        <v>60</v>
      </c>
      <c r="M247" t="s">
        <v>380</v>
      </c>
      <c r="N247" s="2">
        <f>(Posts__2[[#This Row],[Likes]]+Posts__2[[#This Row],[Shares]]+Posts__2[[#This Row],[Comments]])/Posts__2[[#This Row],[Impressions]]</f>
        <v>5.6653298485940883E-2</v>
      </c>
      <c r="O247" s="7">
        <f>Posts__2[[#This Row],[Likes]]+Posts__2[[#This Row],[Shares]]+Posts__2[[#This Row],[Comments]]</f>
        <v>5029</v>
      </c>
      <c r="P247" s="7">
        <f>_xlfn.XLOOKUP(Posts__2[[#This Row],[Platform]],'Engagement Summary'!B:B,'Engagement Summary'!G:G,"NA",0)</f>
        <v>26752</v>
      </c>
      <c r="Q247" t="str">
        <f>IFERROR(IF(C247 &lt; _xlfn.XLOOKUP(M247, 'Campaign Metadata'!A:A, 'Campaign Metadata'!B:B), "Before", "During"), "Not Found")</f>
        <v>Not Found</v>
      </c>
      <c r="R247" s="13">
        <f>Posts__2[[#This Row],[Engagement]]/Posts__2[[#This Row],[Ad Spend]]</f>
        <v>0.18798594497607657</v>
      </c>
    </row>
    <row r="248" spans="1:18" x14ac:dyDescent="0.3">
      <c r="A248" t="s">
        <v>305</v>
      </c>
      <c r="B248" t="s">
        <v>30</v>
      </c>
      <c r="C248" s="1">
        <v>45511</v>
      </c>
      <c r="D248" t="s">
        <v>63</v>
      </c>
      <c r="E248" t="s">
        <v>91</v>
      </c>
      <c r="F248">
        <v>1741</v>
      </c>
      <c r="G248">
        <v>164</v>
      </c>
      <c r="H248">
        <v>318</v>
      </c>
      <c r="I248">
        <v>8705</v>
      </c>
      <c r="J248">
        <v>8272</v>
      </c>
      <c r="K248">
        <v>121</v>
      </c>
      <c r="L248" t="s">
        <v>53</v>
      </c>
      <c r="M248" t="s">
        <v>380</v>
      </c>
      <c r="N248" s="2">
        <f>(Posts__2[[#This Row],[Likes]]+Posts__2[[#This Row],[Shares]]+Posts__2[[#This Row],[Comments]])/Posts__2[[#This Row],[Impressions]]</f>
        <v>0.25537047673750718</v>
      </c>
      <c r="O248" s="7">
        <f>Posts__2[[#This Row],[Likes]]+Posts__2[[#This Row],[Shares]]+Posts__2[[#This Row],[Comments]]</f>
        <v>2223</v>
      </c>
      <c r="P248" s="7">
        <f>_xlfn.XLOOKUP(Posts__2[[#This Row],[Platform]],'Engagement Summary'!B:B,'Engagement Summary'!G:G,"NA",0)</f>
        <v>5904</v>
      </c>
      <c r="Q248" t="str">
        <f>IFERROR(IF(C248 &lt; _xlfn.XLOOKUP(M248, 'Campaign Metadata'!A:A, 'Campaign Metadata'!B:B), "Before", "During"), "Not Found")</f>
        <v>Not Found</v>
      </c>
      <c r="R248" s="13">
        <f>Posts__2[[#This Row],[Engagement]]/Posts__2[[#This Row],[Ad Spend]]</f>
        <v>0.37652439024390244</v>
      </c>
    </row>
    <row r="249" spans="1:18" x14ac:dyDescent="0.3">
      <c r="A249" t="s">
        <v>306</v>
      </c>
      <c r="B249" t="s">
        <v>30</v>
      </c>
      <c r="C249" s="1">
        <v>45455</v>
      </c>
      <c r="D249" t="s">
        <v>51</v>
      </c>
      <c r="E249" t="s">
        <v>104</v>
      </c>
      <c r="F249">
        <v>246</v>
      </c>
      <c r="G249">
        <v>149</v>
      </c>
      <c r="H249">
        <v>130</v>
      </c>
      <c r="I249">
        <v>4674</v>
      </c>
      <c r="J249">
        <v>4390</v>
      </c>
      <c r="K249">
        <v>217</v>
      </c>
      <c r="L249" t="s">
        <v>48</v>
      </c>
      <c r="M249" t="s">
        <v>15</v>
      </c>
      <c r="N249" s="2">
        <f>(Posts__2[[#This Row],[Likes]]+Posts__2[[#This Row],[Shares]]+Posts__2[[#This Row],[Comments]])/Posts__2[[#This Row],[Impressions]]</f>
        <v>0.11232349165596919</v>
      </c>
      <c r="O249" s="7">
        <f>Posts__2[[#This Row],[Likes]]+Posts__2[[#This Row],[Shares]]+Posts__2[[#This Row],[Comments]]</f>
        <v>525</v>
      </c>
      <c r="P249" s="7">
        <f>_xlfn.XLOOKUP(Posts__2[[#This Row],[Platform]],'Engagement Summary'!B:B,'Engagement Summary'!G:G,"NA",0)</f>
        <v>5904</v>
      </c>
      <c r="Q249" t="str">
        <f>IFERROR(IF(C249 &lt; _xlfn.XLOOKUP(M249, 'Campaign Metadata'!A:A, 'Campaign Metadata'!B:B), "Before", "During"), "Not Found")</f>
        <v>Before</v>
      </c>
      <c r="R249" s="13">
        <f>Posts__2[[#This Row],[Engagement]]/Posts__2[[#This Row],[Ad Spend]]</f>
        <v>8.8922764227642281E-2</v>
      </c>
    </row>
    <row r="250" spans="1:18" x14ac:dyDescent="0.3">
      <c r="A250" t="s">
        <v>307</v>
      </c>
      <c r="B250" t="s">
        <v>30</v>
      </c>
      <c r="C250" s="1">
        <v>45474</v>
      </c>
      <c r="D250" t="s">
        <v>58</v>
      </c>
      <c r="E250" t="s">
        <v>59</v>
      </c>
      <c r="F250">
        <v>4808</v>
      </c>
      <c r="G250">
        <v>772</v>
      </c>
      <c r="H250">
        <v>320</v>
      </c>
      <c r="I250">
        <v>72120</v>
      </c>
      <c r="J250">
        <v>71696</v>
      </c>
      <c r="K250">
        <v>195</v>
      </c>
      <c r="L250" t="s">
        <v>60</v>
      </c>
      <c r="M250" t="s">
        <v>7</v>
      </c>
      <c r="N250" s="2">
        <f>(Posts__2[[#This Row],[Likes]]+Posts__2[[#This Row],[Shares]]+Posts__2[[#This Row],[Comments]])/Posts__2[[#This Row],[Impressions]]</f>
        <v>8.1808097615085965E-2</v>
      </c>
      <c r="O250" s="7">
        <f>Posts__2[[#This Row],[Likes]]+Posts__2[[#This Row],[Shares]]+Posts__2[[#This Row],[Comments]]</f>
        <v>5900</v>
      </c>
      <c r="P250" s="7">
        <f>_xlfn.XLOOKUP(Posts__2[[#This Row],[Platform]],'Engagement Summary'!B:B,'Engagement Summary'!G:G,"NA",0)</f>
        <v>5904</v>
      </c>
      <c r="Q250" t="str">
        <f>IFERROR(IF(C250 &lt; _xlfn.XLOOKUP(M250, 'Campaign Metadata'!A:A, 'Campaign Metadata'!B:B), "Before", "During"), "Not Found")</f>
        <v>During</v>
      </c>
      <c r="R250" s="13">
        <f>Posts__2[[#This Row],[Engagement]]/Posts__2[[#This Row],[Ad Spend]]</f>
        <v>0.99932249322493227</v>
      </c>
    </row>
    <row r="251" spans="1:18" x14ac:dyDescent="0.3">
      <c r="A251" t="s">
        <v>308</v>
      </c>
      <c r="B251" t="s">
        <v>30</v>
      </c>
      <c r="C251" s="1">
        <v>45476</v>
      </c>
      <c r="D251" t="s">
        <v>63</v>
      </c>
      <c r="E251" t="s">
        <v>91</v>
      </c>
      <c r="F251">
        <v>4799</v>
      </c>
      <c r="G251">
        <v>694</v>
      </c>
      <c r="H251">
        <v>289</v>
      </c>
      <c r="I251">
        <v>43191</v>
      </c>
      <c r="J251">
        <v>42228</v>
      </c>
      <c r="K251">
        <v>118</v>
      </c>
      <c r="L251" t="s">
        <v>53</v>
      </c>
      <c r="M251" t="s">
        <v>380</v>
      </c>
      <c r="N251" s="2">
        <f>(Posts__2[[#This Row],[Likes]]+Posts__2[[#This Row],[Shares]]+Posts__2[[#This Row],[Comments]])/Posts__2[[#This Row],[Impressions]]</f>
        <v>0.13387048227640017</v>
      </c>
      <c r="O251" s="7">
        <f>Posts__2[[#This Row],[Likes]]+Posts__2[[#This Row],[Shares]]+Posts__2[[#This Row],[Comments]]</f>
        <v>5782</v>
      </c>
      <c r="P251" s="7">
        <f>_xlfn.XLOOKUP(Posts__2[[#This Row],[Platform]],'Engagement Summary'!B:B,'Engagement Summary'!G:G,"NA",0)</f>
        <v>5904</v>
      </c>
      <c r="Q251" t="str">
        <f>IFERROR(IF(C251 &lt; _xlfn.XLOOKUP(M251, 'Campaign Metadata'!A:A, 'Campaign Metadata'!B:B), "Before", "During"), "Not Found")</f>
        <v>Not Found</v>
      </c>
      <c r="R251" s="13">
        <f>Posts__2[[#This Row],[Engagement]]/Posts__2[[#This Row],[Ad Spend]]</f>
        <v>0.97933604336043356</v>
      </c>
    </row>
    <row r="252" spans="1:18" x14ac:dyDescent="0.3">
      <c r="A252" t="s">
        <v>309</v>
      </c>
      <c r="B252" t="s">
        <v>31</v>
      </c>
      <c r="C252" s="1">
        <v>45488</v>
      </c>
      <c r="D252" t="s">
        <v>46</v>
      </c>
      <c r="E252" t="s">
        <v>76</v>
      </c>
      <c r="F252">
        <v>3663</v>
      </c>
      <c r="G252">
        <v>17</v>
      </c>
      <c r="H252">
        <v>295</v>
      </c>
      <c r="I252">
        <v>51282</v>
      </c>
      <c r="J252">
        <v>50567</v>
      </c>
      <c r="K252">
        <v>84</v>
      </c>
      <c r="L252" t="s">
        <v>60</v>
      </c>
      <c r="M252" t="s">
        <v>15</v>
      </c>
      <c r="N252" s="2">
        <f>(Posts__2[[#This Row],[Likes]]+Posts__2[[#This Row],[Shares]]+Posts__2[[#This Row],[Comments]])/Posts__2[[#This Row],[Impressions]]</f>
        <v>7.7512577512577507E-2</v>
      </c>
      <c r="O252" s="7">
        <f>Posts__2[[#This Row],[Likes]]+Posts__2[[#This Row],[Shares]]+Posts__2[[#This Row],[Comments]]</f>
        <v>3975</v>
      </c>
      <c r="P252" s="7">
        <f>_xlfn.XLOOKUP(Posts__2[[#This Row],[Platform]],'Engagement Summary'!B:B,'Engagement Summary'!G:G,"NA",0)</f>
        <v>9566</v>
      </c>
      <c r="Q252" t="str">
        <f>IFERROR(IF(C252 &lt; _xlfn.XLOOKUP(M252, 'Campaign Metadata'!A:A, 'Campaign Metadata'!B:B), "Before", "During"), "Not Found")</f>
        <v>Before</v>
      </c>
      <c r="R252" s="13">
        <f>Posts__2[[#This Row],[Engagement]]/Posts__2[[#This Row],[Ad Spend]]</f>
        <v>0.41553418356679905</v>
      </c>
    </row>
    <row r="253" spans="1:18" x14ac:dyDescent="0.3">
      <c r="A253" t="s">
        <v>310</v>
      </c>
      <c r="B253" t="s">
        <v>30</v>
      </c>
      <c r="C253" s="1">
        <v>45778</v>
      </c>
      <c r="D253" t="s">
        <v>51</v>
      </c>
      <c r="E253" t="s">
        <v>104</v>
      </c>
      <c r="F253">
        <v>1430</v>
      </c>
      <c r="G253">
        <v>376</v>
      </c>
      <c r="H253">
        <v>33</v>
      </c>
      <c r="I253">
        <v>21450</v>
      </c>
      <c r="J253">
        <v>20509</v>
      </c>
      <c r="K253">
        <v>251</v>
      </c>
      <c r="L253" t="s">
        <v>48</v>
      </c>
      <c r="M253" t="s">
        <v>7</v>
      </c>
      <c r="N253" s="2">
        <f>(Posts__2[[#This Row],[Likes]]+Posts__2[[#This Row],[Shares]]+Posts__2[[#This Row],[Comments]])/Posts__2[[#This Row],[Impressions]]</f>
        <v>8.5734265734265735E-2</v>
      </c>
      <c r="O253" s="7">
        <f>Posts__2[[#This Row],[Likes]]+Posts__2[[#This Row],[Shares]]+Posts__2[[#This Row],[Comments]]</f>
        <v>1839</v>
      </c>
      <c r="P253" s="7">
        <f>_xlfn.XLOOKUP(Posts__2[[#This Row],[Platform]],'Engagement Summary'!B:B,'Engagement Summary'!G:G,"NA",0)</f>
        <v>5904</v>
      </c>
      <c r="Q253" t="str">
        <f>IFERROR(IF(C253 &lt; _xlfn.XLOOKUP(M253, 'Campaign Metadata'!A:A, 'Campaign Metadata'!B:B), "Before", "During"), "Not Found")</f>
        <v>During</v>
      </c>
      <c r="R253" s="13">
        <f>Posts__2[[#This Row],[Engagement]]/Posts__2[[#This Row],[Ad Spend]]</f>
        <v>0.31148373983739835</v>
      </c>
    </row>
    <row r="254" spans="1:18" x14ac:dyDescent="0.3">
      <c r="A254" t="s">
        <v>311</v>
      </c>
      <c r="B254" t="s">
        <v>32</v>
      </c>
      <c r="C254" s="1">
        <v>45776</v>
      </c>
      <c r="D254" t="s">
        <v>58</v>
      </c>
      <c r="E254" t="s">
        <v>124</v>
      </c>
      <c r="F254">
        <v>249</v>
      </c>
      <c r="G254">
        <v>592</v>
      </c>
      <c r="H254">
        <v>230</v>
      </c>
      <c r="I254">
        <v>1494</v>
      </c>
      <c r="J254">
        <v>1044</v>
      </c>
      <c r="K254">
        <v>201</v>
      </c>
      <c r="L254" t="s">
        <v>60</v>
      </c>
      <c r="M254" t="s">
        <v>19</v>
      </c>
      <c r="N254" s="2">
        <f>(Posts__2[[#This Row],[Likes]]+Posts__2[[#This Row],[Shares]]+Posts__2[[#This Row],[Comments]])/Posts__2[[#This Row],[Impressions]]</f>
        <v>0.7168674698795181</v>
      </c>
      <c r="O254" s="7">
        <f>Posts__2[[#This Row],[Likes]]+Posts__2[[#This Row],[Shares]]+Posts__2[[#This Row],[Comments]]</f>
        <v>1071</v>
      </c>
      <c r="P254" s="7">
        <f>_xlfn.XLOOKUP(Posts__2[[#This Row],[Platform]],'Engagement Summary'!B:B,'Engagement Summary'!G:G,"NA",0)</f>
        <v>26752</v>
      </c>
      <c r="Q254" t="str">
        <f>IFERROR(IF(C254 &lt; _xlfn.XLOOKUP(M254, 'Campaign Metadata'!A:A, 'Campaign Metadata'!B:B), "Before", "During"), "Not Found")</f>
        <v>During</v>
      </c>
      <c r="R254" s="13">
        <f>Posts__2[[#This Row],[Engagement]]/Posts__2[[#This Row],[Ad Spend]]</f>
        <v>4.003438995215311E-2</v>
      </c>
    </row>
    <row r="255" spans="1:18" x14ac:dyDescent="0.3">
      <c r="A255" t="s">
        <v>312</v>
      </c>
      <c r="B255" t="s">
        <v>31</v>
      </c>
      <c r="C255" s="1">
        <v>45724</v>
      </c>
      <c r="D255" t="s">
        <v>68</v>
      </c>
      <c r="E255" t="s">
        <v>73</v>
      </c>
      <c r="F255">
        <v>2382</v>
      </c>
      <c r="G255">
        <v>265</v>
      </c>
      <c r="H255">
        <v>134</v>
      </c>
      <c r="I255">
        <v>38112</v>
      </c>
      <c r="J255">
        <v>37437</v>
      </c>
      <c r="K255">
        <v>249</v>
      </c>
      <c r="L255" t="s">
        <v>48</v>
      </c>
      <c r="M255" t="s">
        <v>19</v>
      </c>
      <c r="N255" s="2">
        <f>(Posts__2[[#This Row],[Likes]]+Posts__2[[#This Row],[Shares]]+Posts__2[[#This Row],[Comments]])/Posts__2[[#This Row],[Impressions]]</f>
        <v>7.2969143576826198E-2</v>
      </c>
      <c r="O255" s="7">
        <f>Posts__2[[#This Row],[Likes]]+Posts__2[[#This Row],[Shares]]+Posts__2[[#This Row],[Comments]]</f>
        <v>2781</v>
      </c>
      <c r="P255" s="7">
        <f>_xlfn.XLOOKUP(Posts__2[[#This Row],[Platform]],'Engagement Summary'!B:B,'Engagement Summary'!G:G,"NA",0)</f>
        <v>9566</v>
      </c>
      <c r="Q255" t="str">
        <f>IFERROR(IF(C255 &lt; _xlfn.XLOOKUP(M255, 'Campaign Metadata'!A:A, 'Campaign Metadata'!B:B), "Before", "During"), "Not Found")</f>
        <v>During</v>
      </c>
      <c r="R255" s="13">
        <f>Posts__2[[#This Row],[Engagement]]/Posts__2[[#This Row],[Ad Spend]]</f>
        <v>0.29071712314447001</v>
      </c>
    </row>
    <row r="256" spans="1:18" x14ac:dyDescent="0.3">
      <c r="A256" t="s">
        <v>313</v>
      </c>
      <c r="B256" t="s">
        <v>31</v>
      </c>
      <c r="C256" s="1">
        <v>45444</v>
      </c>
      <c r="D256" t="s">
        <v>51</v>
      </c>
      <c r="E256" t="s">
        <v>71</v>
      </c>
      <c r="F256">
        <v>1272</v>
      </c>
      <c r="G256">
        <v>465</v>
      </c>
      <c r="H256">
        <v>99</v>
      </c>
      <c r="I256">
        <v>24168</v>
      </c>
      <c r="J256">
        <v>23719</v>
      </c>
      <c r="K256">
        <v>42</v>
      </c>
      <c r="L256" t="s">
        <v>53</v>
      </c>
      <c r="M256" t="s">
        <v>380</v>
      </c>
      <c r="N256" s="2">
        <f>(Posts__2[[#This Row],[Likes]]+Posts__2[[#This Row],[Shares]]+Posts__2[[#This Row],[Comments]])/Posts__2[[#This Row],[Impressions]]</f>
        <v>7.5968222442899705E-2</v>
      </c>
      <c r="O256" s="7">
        <f>Posts__2[[#This Row],[Likes]]+Posts__2[[#This Row],[Shares]]+Posts__2[[#This Row],[Comments]]</f>
        <v>1836</v>
      </c>
      <c r="P256" s="7">
        <f>_xlfn.XLOOKUP(Posts__2[[#This Row],[Platform]],'Engagement Summary'!B:B,'Engagement Summary'!G:G,"NA",0)</f>
        <v>9566</v>
      </c>
      <c r="Q256" t="str">
        <f>IFERROR(IF(C256 &lt; _xlfn.XLOOKUP(M256, 'Campaign Metadata'!A:A, 'Campaign Metadata'!B:B), "Before", "During"), "Not Found")</f>
        <v>Not Found</v>
      </c>
      <c r="R256" s="13">
        <f>Posts__2[[#This Row],[Engagement]]/Posts__2[[#This Row],[Ad Spend]]</f>
        <v>0.19192975120217437</v>
      </c>
    </row>
    <row r="257" spans="1:18" x14ac:dyDescent="0.3">
      <c r="A257" t="s">
        <v>314</v>
      </c>
      <c r="B257" t="s">
        <v>31</v>
      </c>
      <c r="C257" s="1">
        <v>45648</v>
      </c>
      <c r="D257" t="s">
        <v>68</v>
      </c>
      <c r="E257" t="s">
        <v>73</v>
      </c>
      <c r="F257">
        <v>3196</v>
      </c>
      <c r="G257">
        <v>941</v>
      </c>
      <c r="H257">
        <v>376</v>
      </c>
      <c r="I257">
        <v>35156</v>
      </c>
      <c r="J257">
        <v>34444</v>
      </c>
      <c r="K257">
        <v>241</v>
      </c>
      <c r="L257" t="s">
        <v>53</v>
      </c>
      <c r="M257" t="s">
        <v>15</v>
      </c>
      <c r="N257" s="2">
        <f>(Posts__2[[#This Row],[Likes]]+Posts__2[[#This Row],[Shares]]+Posts__2[[#This Row],[Comments]])/Posts__2[[#This Row],[Impressions]]</f>
        <v>0.1283706906360223</v>
      </c>
      <c r="O257" s="7">
        <f>Posts__2[[#This Row],[Likes]]+Posts__2[[#This Row],[Shares]]+Posts__2[[#This Row],[Comments]]</f>
        <v>4513</v>
      </c>
      <c r="P257" s="7">
        <f>_xlfn.XLOOKUP(Posts__2[[#This Row],[Platform]],'Engagement Summary'!B:B,'Engagement Summary'!G:G,"NA",0)</f>
        <v>9566</v>
      </c>
      <c r="Q257" t="str">
        <f>IFERROR(IF(C257 &lt; _xlfn.XLOOKUP(M257, 'Campaign Metadata'!A:A, 'Campaign Metadata'!B:B), "Before", "During"), "Not Found")</f>
        <v>Before</v>
      </c>
      <c r="R257" s="13">
        <f>Posts__2[[#This Row],[Engagement]]/Posts__2[[#This Row],[Ad Spend]]</f>
        <v>0.47177503658791553</v>
      </c>
    </row>
    <row r="258" spans="1:18" x14ac:dyDescent="0.3">
      <c r="A258" t="s">
        <v>315</v>
      </c>
      <c r="B258" t="s">
        <v>31</v>
      </c>
      <c r="C258" s="1">
        <v>45523</v>
      </c>
      <c r="D258" t="s">
        <v>51</v>
      </c>
      <c r="E258" t="s">
        <v>71</v>
      </c>
      <c r="F258">
        <v>1257</v>
      </c>
      <c r="G258">
        <v>19</v>
      </c>
      <c r="H258">
        <v>351</v>
      </c>
      <c r="I258">
        <v>12570</v>
      </c>
      <c r="J258">
        <v>11660</v>
      </c>
      <c r="K258">
        <v>194</v>
      </c>
      <c r="L258" t="s">
        <v>48</v>
      </c>
      <c r="M258" t="s">
        <v>11</v>
      </c>
      <c r="N258" s="2">
        <f>(Posts__2[[#This Row],[Likes]]+Posts__2[[#This Row],[Shares]]+Posts__2[[#This Row],[Comments]])/Posts__2[[#This Row],[Impressions]]</f>
        <v>0.12943516308671441</v>
      </c>
      <c r="O258" s="7">
        <f>Posts__2[[#This Row],[Likes]]+Posts__2[[#This Row],[Shares]]+Posts__2[[#This Row],[Comments]]</f>
        <v>1627</v>
      </c>
      <c r="P258" s="7">
        <f>_xlfn.XLOOKUP(Posts__2[[#This Row],[Platform]],'Engagement Summary'!B:B,'Engagement Summary'!G:G,"NA",0)</f>
        <v>9566</v>
      </c>
      <c r="Q258" t="str">
        <f>IFERROR(IF(C258 &lt; _xlfn.XLOOKUP(M258, 'Campaign Metadata'!A:A, 'Campaign Metadata'!B:B), "Before", "During"), "Not Found")</f>
        <v>Before</v>
      </c>
      <c r="R258" s="13">
        <f>Posts__2[[#This Row],[Engagement]]/Posts__2[[#This Row],[Ad Spend]]</f>
        <v>0.17008153878319046</v>
      </c>
    </row>
    <row r="259" spans="1:18" x14ac:dyDescent="0.3">
      <c r="A259" t="s">
        <v>315</v>
      </c>
      <c r="B259" t="s">
        <v>31</v>
      </c>
      <c r="C259" s="1">
        <v>45523</v>
      </c>
      <c r="D259" t="s">
        <v>51</v>
      </c>
      <c r="E259" t="s">
        <v>71</v>
      </c>
      <c r="F259">
        <v>1257</v>
      </c>
      <c r="G259">
        <v>19</v>
      </c>
      <c r="H259">
        <v>351</v>
      </c>
      <c r="I259">
        <v>12570</v>
      </c>
      <c r="J259">
        <v>11660</v>
      </c>
      <c r="K259">
        <v>194</v>
      </c>
      <c r="L259" t="s">
        <v>49</v>
      </c>
      <c r="M259" t="s">
        <v>11</v>
      </c>
      <c r="N259" s="2">
        <f>(Posts__2[[#This Row],[Likes]]+Posts__2[[#This Row],[Shares]]+Posts__2[[#This Row],[Comments]])/Posts__2[[#This Row],[Impressions]]</f>
        <v>0.12943516308671441</v>
      </c>
      <c r="O259" s="7">
        <f>Posts__2[[#This Row],[Likes]]+Posts__2[[#This Row],[Shares]]+Posts__2[[#This Row],[Comments]]</f>
        <v>1627</v>
      </c>
      <c r="P259" s="7">
        <f>_xlfn.XLOOKUP(Posts__2[[#This Row],[Platform]],'Engagement Summary'!B:B,'Engagement Summary'!G:G,"NA",0)</f>
        <v>9566</v>
      </c>
      <c r="Q259" t="str">
        <f>IFERROR(IF(C259 &lt; _xlfn.XLOOKUP(M259, 'Campaign Metadata'!A:A, 'Campaign Metadata'!B:B), "Before", "During"), "Not Found")</f>
        <v>Before</v>
      </c>
      <c r="R259" s="13">
        <f>Posts__2[[#This Row],[Engagement]]/Posts__2[[#This Row],[Ad Spend]]</f>
        <v>0.17008153878319046</v>
      </c>
    </row>
    <row r="260" spans="1:18" x14ac:dyDescent="0.3">
      <c r="A260" t="s">
        <v>315</v>
      </c>
      <c r="B260" t="s">
        <v>31</v>
      </c>
      <c r="C260" s="1">
        <v>45523</v>
      </c>
      <c r="D260" t="s">
        <v>51</v>
      </c>
      <c r="E260" t="s">
        <v>71</v>
      </c>
      <c r="F260">
        <v>1257</v>
      </c>
      <c r="G260">
        <v>19</v>
      </c>
      <c r="H260">
        <v>351</v>
      </c>
      <c r="I260">
        <v>12570</v>
      </c>
      <c r="J260">
        <v>11660</v>
      </c>
      <c r="K260">
        <v>194</v>
      </c>
      <c r="L260" t="s">
        <v>60</v>
      </c>
      <c r="M260" t="s">
        <v>11</v>
      </c>
      <c r="N260" s="2">
        <f>(Posts__2[[#This Row],[Likes]]+Posts__2[[#This Row],[Shares]]+Posts__2[[#This Row],[Comments]])/Posts__2[[#This Row],[Impressions]]</f>
        <v>0.12943516308671441</v>
      </c>
      <c r="O260" s="7">
        <f>Posts__2[[#This Row],[Likes]]+Posts__2[[#This Row],[Shares]]+Posts__2[[#This Row],[Comments]]</f>
        <v>1627</v>
      </c>
      <c r="P260" s="7">
        <f>_xlfn.XLOOKUP(Posts__2[[#This Row],[Platform]],'Engagement Summary'!B:B,'Engagement Summary'!G:G,"NA",0)</f>
        <v>9566</v>
      </c>
      <c r="Q260" t="str">
        <f>IFERROR(IF(C260 &lt; _xlfn.XLOOKUP(M260, 'Campaign Metadata'!A:A, 'Campaign Metadata'!B:B), "Before", "During"), "Not Found")</f>
        <v>Before</v>
      </c>
      <c r="R260" s="13">
        <f>Posts__2[[#This Row],[Engagement]]/Posts__2[[#This Row],[Ad Spend]]</f>
        <v>0.17008153878319046</v>
      </c>
    </row>
    <row r="261" spans="1:18" x14ac:dyDescent="0.3">
      <c r="A261" t="s">
        <v>316</v>
      </c>
      <c r="B261" t="s">
        <v>30</v>
      </c>
      <c r="C261" s="1">
        <v>45587</v>
      </c>
      <c r="D261" t="s">
        <v>58</v>
      </c>
      <c r="E261" t="s">
        <v>59</v>
      </c>
      <c r="F261">
        <v>3770</v>
      </c>
      <c r="G261">
        <v>917</v>
      </c>
      <c r="H261">
        <v>129</v>
      </c>
      <c r="I261">
        <v>71630</v>
      </c>
      <c r="J261">
        <v>71322</v>
      </c>
      <c r="K261">
        <v>76</v>
      </c>
      <c r="L261" t="s">
        <v>48</v>
      </c>
      <c r="M261" t="s">
        <v>7</v>
      </c>
      <c r="N261" s="2">
        <f>(Posts__2[[#This Row],[Likes]]+Posts__2[[#This Row],[Shares]]+Posts__2[[#This Row],[Comments]])/Posts__2[[#This Row],[Impressions]]</f>
        <v>6.7234398994834563E-2</v>
      </c>
      <c r="O261" s="7">
        <f>Posts__2[[#This Row],[Likes]]+Posts__2[[#This Row],[Shares]]+Posts__2[[#This Row],[Comments]]</f>
        <v>4816</v>
      </c>
      <c r="P261" s="7">
        <f>_xlfn.XLOOKUP(Posts__2[[#This Row],[Platform]],'Engagement Summary'!B:B,'Engagement Summary'!G:G,"NA",0)</f>
        <v>5904</v>
      </c>
      <c r="Q261" t="str">
        <f>IFERROR(IF(C261 &lt; _xlfn.XLOOKUP(M261, 'Campaign Metadata'!A:A, 'Campaign Metadata'!B:B), "Before", "During"), "Not Found")</f>
        <v>During</v>
      </c>
      <c r="R261" s="13">
        <f>Posts__2[[#This Row],[Engagement]]/Posts__2[[#This Row],[Ad Spend]]</f>
        <v>0.81571815718157181</v>
      </c>
    </row>
    <row r="262" spans="1:18" x14ac:dyDescent="0.3">
      <c r="A262" t="s">
        <v>317</v>
      </c>
      <c r="B262" t="s">
        <v>32</v>
      </c>
      <c r="C262" s="1">
        <v>45489</v>
      </c>
      <c r="D262" t="s">
        <v>51</v>
      </c>
      <c r="E262" t="s">
        <v>52</v>
      </c>
      <c r="F262">
        <v>4725</v>
      </c>
      <c r="G262">
        <v>400</v>
      </c>
      <c r="H262">
        <v>362</v>
      </c>
      <c r="I262">
        <v>75600</v>
      </c>
      <c r="J262">
        <v>74927</v>
      </c>
      <c r="K262">
        <v>43</v>
      </c>
      <c r="L262" t="s">
        <v>48</v>
      </c>
      <c r="M262" t="s">
        <v>19</v>
      </c>
      <c r="N262" s="2">
        <f>(Posts__2[[#This Row],[Likes]]+Posts__2[[#This Row],[Shares]]+Posts__2[[#This Row],[Comments]])/Posts__2[[#This Row],[Impressions]]</f>
        <v>7.2579365079365077E-2</v>
      </c>
      <c r="O262" s="7">
        <f>Posts__2[[#This Row],[Likes]]+Posts__2[[#This Row],[Shares]]+Posts__2[[#This Row],[Comments]]</f>
        <v>5487</v>
      </c>
      <c r="P262" s="7">
        <f>_xlfn.XLOOKUP(Posts__2[[#This Row],[Platform]],'Engagement Summary'!B:B,'Engagement Summary'!G:G,"NA",0)</f>
        <v>26752</v>
      </c>
      <c r="Q262" t="str">
        <f>IFERROR(IF(C262 &lt; _xlfn.XLOOKUP(M262, 'Campaign Metadata'!A:A, 'Campaign Metadata'!B:B), "Before", "During"), "Not Found")</f>
        <v>Before</v>
      </c>
      <c r="R262" s="13">
        <f>Posts__2[[#This Row],[Engagement]]/Posts__2[[#This Row],[Ad Spend]]</f>
        <v>0.20510616028708134</v>
      </c>
    </row>
    <row r="263" spans="1:18" x14ac:dyDescent="0.3">
      <c r="A263" t="s">
        <v>318</v>
      </c>
      <c r="B263" t="s">
        <v>33</v>
      </c>
      <c r="C263" s="1">
        <v>45712</v>
      </c>
      <c r="D263" t="s">
        <v>51</v>
      </c>
      <c r="E263" t="s">
        <v>99</v>
      </c>
      <c r="F263">
        <v>4188</v>
      </c>
      <c r="G263">
        <v>942</v>
      </c>
      <c r="H263">
        <v>118</v>
      </c>
      <c r="I263">
        <v>20940</v>
      </c>
      <c r="J263">
        <v>20471</v>
      </c>
      <c r="K263">
        <v>102</v>
      </c>
      <c r="L263" t="s">
        <v>48</v>
      </c>
      <c r="M263" t="s">
        <v>380</v>
      </c>
      <c r="N263" s="2">
        <f>(Posts__2[[#This Row],[Likes]]+Posts__2[[#This Row],[Shares]]+Posts__2[[#This Row],[Comments]])/Posts__2[[#This Row],[Impressions]]</f>
        <v>0.25062082139446035</v>
      </c>
      <c r="O263" s="7">
        <f>Posts__2[[#This Row],[Likes]]+Posts__2[[#This Row],[Shares]]+Posts__2[[#This Row],[Comments]]</f>
        <v>5248</v>
      </c>
      <c r="P263" s="7">
        <f>_xlfn.XLOOKUP(Posts__2[[#This Row],[Platform]],'Engagement Summary'!B:B,'Engagement Summary'!G:G,"NA",0)</f>
        <v>30671</v>
      </c>
      <c r="Q263" t="str">
        <f>IFERROR(IF(C263 &lt; _xlfn.XLOOKUP(M263, 'Campaign Metadata'!A:A, 'Campaign Metadata'!B:B), "Before", "During"), "Not Found")</f>
        <v>Not Found</v>
      </c>
      <c r="R263" s="13">
        <f>Posts__2[[#This Row],[Engagement]]/Posts__2[[#This Row],[Ad Spend]]</f>
        <v>0.17110625672459326</v>
      </c>
    </row>
    <row r="264" spans="1:18" x14ac:dyDescent="0.3">
      <c r="A264" t="s">
        <v>319</v>
      </c>
      <c r="B264" t="s">
        <v>32</v>
      </c>
      <c r="C264" s="1">
        <v>45530</v>
      </c>
      <c r="D264" t="s">
        <v>63</v>
      </c>
      <c r="E264" t="s">
        <v>66</v>
      </c>
      <c r="F264">
        <v>929</v>
      </c>
      <c r="G264">
        <v>192</v>
      </c>
      <c r="H264">
        <v>322</v>
      </c>
      <c r="I264">
        <v>16722</v>
      </c>
      <c r="J264">
        <v>15996</v>
      </c>
      <c r="K264">
        <v>145</v>
      </c>
      <c r="L264" t="s">
        <v>60</v>
      </c>
      <c r="M264" t="s">
        <v>15</v>
      </c>
      <c r="N264" s="2">
        <f>(Posts__2[[#This Row],[Likes]]+Posts__2[[#This Row],[Shares]]+Posts__2[[#This Row],[Comments]])/Posts__2[[#This Row],[Impressions]]</f>
        <v>8.6293505561535699E-2</v>
      </c>
      <c r="O264" s="7">
        <f>Posts__2[[#This Row],[Likes]]+Posts__2[[#This Row],[Shares]]+Posts__2[[#This Row],[Comments]]</f>
        <v>1443</v>
      </c>
      <c r="P264" s="7">
        <f>_xlfn.XLOOKUP(Posts__2[[#This Row],[Platform]],'Engagement Summary'!B:B,'Engagement Summary'!G:G,"NA",0)</f>
        <v>26752</v>
      </c>
      <c r="Q264" t="str">
        <f>IFERROR(IF(C264 &lt; _xlfn.XLOOKUP(M264, 'Campaign Metadata'!A:A, 'Campaign Metadata'!B:B), "Before", "During"), "Not Found")</f>
        <v>Before</v>
      </c>
      <c r="R264" s="13">
        <f>Posts__2[[#This Row],[Engagement]]/Posts__2[[#This Row],[Ad Spend]]</f>
        <v>5.3939892344497607E-2</v>
      </c>
    </row>
    <row r="265" spans="1:18" x14ac:dyDescent="0.3">
      <c r="A265" t="s">
        <v>319</v>
      </c>
      <c r="B265" t="s">
        <v>32</v>
      </c>
      <c r="C265" s="1">
        <v>45530</v>
      </c>
      <c r="D265" t="s">
        <v>63</v>
      </c>
      <c r="E265" t="s">
        <v>66</v>
      </c>
      <c r="F265">
        <v>929</v>
      </c>
      <c r="G265">
        <v>192</v>
      </c>
      <c r="H265">
        <v>322</v>
      </c>
      <c r="I265">
        <v>16722</v>
      </c>
      <c r="J265">
        <v>15996</v>
      </c>
      <c r="K265">
        <v>145</v>
      </c>
      <c r="L265" t="s">
        <v>53</v>
      </c>
      <c r="M265" t="s">
        <v>15</v>
      </c>
      <c r="N265" s="2">
        <f>(Posts__2[[#This Row],[Likes]]+Posts__2[[#This Row],[Shares]]+Posts__2[[#This Row],[Comments]])/Posts__2[[#This Row],[Impressions]]</f>
        <v>8.6293505561535699E-2</v>
      </c>
      <c r="O265" s="7">
        <f>Posts__2[[#This Row],[Likes]]+Posts__2[[#This Row],[Shares]]+Posts__2[[#This Row],[Comments]]</f>
        <v>1443</v>
      </c>
      <c r="P265" s="7">
        <f>_xlfn.XLOOKUP(Posts__2[[#This Row],[Platform]],'Engagement Summary'!B:B,'Engagement Summary'!G:G,"NA",0)</f>
        <v>26752</v>
      </c>
      <c r="Q265" t="str">
        <f>IFERROR(IF(C265 &lt; _xlfn.XLOOKUP(M265, 'Campaign Metadata'!A:A, 'Campaign Metadata'!B:B), "Before", "During"), "Not Found")</f>
        <v>Before</v>
      </c>
      <c r="R265" s="13">
        <f>Posts__2[[#This Row],[Engagement]]/Posts__2[[#This Row],[Ad Spend]]</f>
        <v>5.3939892344497607E-2</v>
      </c>
    </row>
    <row r="266" spans="1:18" x14ac:dyDescent="0.3">
      <c r="A266" t="s">
        <v>319</v>
      </c>
      <c r="B266" t="s">
        <v>32</v>
      </c>
      <c r="C266" s="1">
        <v>45530</v>
      </c>
      <c r="D266" t="s">
        <v>63</v>
      </c>
      <c r="E266" t="s">
        <v>66</v>
      </c>
      <c r="F266">
        <v>929</v>
      </c>
      <c r="G266">
        <v>192</v>
      </c>
      <c r="H266">
        <v>322</v>
      </c>
      <c r="I266">
        <v>16722</v>
      </c>
      <c r="J266">
        <v>15996</v>
      </c>
      <c r="K266">
        <v>145</v>
      </c>
      <c r="L266" t="s">
        <v>49</v>
      </c>
      <c r="M266" t="s">
        <v>15</v>
      </c>
      <c r="N266" s="2">
        <f>(Posts__2[[#This Row],[Likes]]+Posts__2[[#This Row],[Shares]]+Posts__2[[#This Row],[Comments]])/Posts__2[[#This Row],[Impressions]]</f>
        <v>8.6293505561535699E-2</v>
      </c>
      <c r="O266" s="7">
        <f>Posts__2[[#This Row],[Likes]]+Posts__2[[#This Row],[Shares]]+Posts__2[[#This Row],[Comments]]</f>
        <v>1443</v>
      </c>
      <c r="P266" s="7">
        <f>_xlfn.XLOOKUP(Posts__2[[#This Row],[Platform]],'Engagement Summary'!B:B,'Engagement Summary'!G:G,"NA",0)</f>
        <v>26752</v>
      </c>
      <c r="Q266" t="str">
        <f>IFERROR(IF(C266 &lt; _xlfn.XLOOKUP(M266, 'Campaign Metadata'!A:A, 'Campaign Metadata'!B:B), "Before", "During"), "Not Found")</f>
        <v>Before</v>
      </c>
      <c r="R266" s="13">
        <f>Posts__2[[#This Row],[Engagement]]/Posts__2[[#This Row],[Ad Spend]]</f>
        <v>5.3939892344497607E-2</v>
      </c>
    </row>
    <row r="267" spans="1:18" x14ac:dyDescent="0.3">
      <c r="A267" t="s">
        <v>320</v>
      </c>
      <c r="B267" t="s">
        <v>31</v>
      </c>
      <c r="C267" s="1">
        <v>45675</v>
      </c>
      <c r="D267" t="s">
        <v>58</v>
      </c>
      <c r="E267" t="s">
        <v>80</v>
      </c>
      <c r="F267">
        <v>4321</v>
      </c>
      <c r="G267">
        <v>874</v>
      </c>
      <c r="H267">
        <v>172</v>
      </c>
      <c r="I267">
        <v>30247</v>
      </c>
      <c r="J267">
        <v>29254</v>
      </c>
      <c r="K267">
        <v>122</v>
      </c>
      <c r="L267" t="s">
        <v>53</v>
      </c>
      <c r="M267" t="s">
        <v>19</v>
      </c>
      <c r="N267" s="2">
        <f>(Posts__2[[#This Row],[Likes]]+Posts__2[[#This Row],[Shares]]+Posts__2[[#This Row],[Comments]])/Posts__2[[#This Row],[Impressions]]</f>
        <v>0.17743908486792079</v>
      </c>
      <c r="O267" s="7">
        <f>Posts__2[[#This Row],[Likes]]+Posts__2[[#This Row],[Shares]]+Posts__2[[#This Row],[Comments]]</f>
        <v>5367</v>
      </c>
      <c r="P267" s="7">
        <f>_xlfn.XLOOKUP(Posts__2[[#This Row],[Platform]],'Engagement Summary'!B:B,'Engagement Summary'!G:G,"NA",0)</f>
        <v>9566</v>
      </c>
      <c r="Q267" t="str">
        <f>IFERROR(IF(C267 &lt; _xlfn.XLOOKUP(M267, 'Campaign Metadata'!A:A, 'Campaign Metadata'!B:B), "Before", "During"), "Not Found")</f>
        <v>Before</v>
      </c>
      <c r="R267" s="13">
        <f>Posts__2[[#This Row],[Engagement]]/Posts__2[[#This Row],[Ad Spend]]</f>
        <v>0.56104955049132343</v>
      </c>
    </row>
    <row r="268" spans="1:18" x14ac:dyDescent="0.3">
      <c r="A268" t="s">
        <v>321</v>
      </c>
      <c r="B268" t="s">
        <v>31</v>
      </c>
      <c r="C268" s="1">
        <v>45480</v>
      </c>
      <c r="D268" t="s">
        <v>46</v>
      </c>
      <c r="E268" t="s">
        <v>76</v>
      </c>
      <c r="F268">
        <v>4767</v>
      </c>
      <c r="G268">
        <v>190</v>
      </c>
      <c r="H268">
        <v>340</v>
      </c>
      <c r="I268">
        <v>28602</v>
      </c>
      <c r="J268">
        <v>28044</v>
      </c>
      <c r="K268">
        <v>210</v>
      </c>
      <c r="L268" t="s">
        <v>60</v>
      </c>
      <c r="M268" t="s">
        <v>15</v>
      </c>
      <c r="N268" s="2">
        <f>(Posts__2[[#This Row],[Likes]]+Posts__2[[#This Row],[Shares]]+Posts__2[[#This Row],[Comments]])/Posts__2[[#This Row],[Impressions]]</f>
        <v>0.18519683938186141</v>
      </c>
      <c r="O268" s="7">
        <f>Posts__2[[#This Row],[Likes]]+Posts__2[[#This Row],[Shares]]+Posts__2[[#This Row],[Comments]]</f>
        <v>5297</v>
      </c>
      <c r="P268" s="7">
        <f>_xlfn.XLOOKUP(Posts__2[[#This Row],[Platform]],'Engagement Summary'!B:B,'Engagement Summary'!G:G,"NA",0)</f>
        <v>9566</v>
      </c>
      <c r="Q268" t="str">
        <f>IFERROR(IF(C268 &lt; _xlfn.XLOOKUP(M268, 'Campaign Metadata'!A:A, 'Campaign Metadata'!B:B), "Before", "During"), "Not Found")</f>
        <v>Before</v>
      </c>
      <c r="R268" s="13">
        <f>Posts__2[[#This Row],[Engagement]]/Posts__2[[#This Row],[Ad Spend]]</f>
        <v>0.55373196738448671</v>
      </c>
    </row>
    <row r="269" spans="1:18" x14ac:dyDescent="0.3">
      <c r="A269" t="s">
        <v>322</v>
      </c>
      <c r="B269" t="s">
        <v>32</v>
      </c>
      <c r="C269" s="1">
        <v>45722</v>
      </c>
      <c r="D269" t="s">
        <v>68</v>
      </c>
      <c r="E269" t="s">
        <v>114</v>
      </c>
      <c r="F269">
        <v>3592</v>
      </c>
      <c r="G269">
        <v>911</v>
      </c>
      <c r="H269">
        <v>375</v>
      </c>
      <c r="I269">
        <v>50288</v>
      </c>
      <c r="J269">
        <v>49490</v>
      </c>
      <c r="K269">
        <v>32</v>
      </c>
      <c r="L269" t="s">
        <v>48</v>
      </c>
      <c r="M269" t="s">
        <v>19</v>
      </c>
      <c r="N269" s="2">
        <f>(Posts__2[[#This Row],[Likes]]+Posts__2[[#This Row],[Shares]]+Posts__2[[#This Row],[Comments]])/Posts__2[[#This Row],[Impressions]]</f>
        <v>9.7001272669424113E-2</v>
      </c>
      <c r="O269" s="7">
        <f>Posts__2[[#This Row],[Likes]]+Posts__2[[#This Row],[Shares]]+Posts__2[[#This Row],[Comments]]</f>
        <v>4878</v>
      </c>
      <c r="P269" s="7">
        <f>_xlfn.XLOOKUP(Posts__2[[#This Row],[Platform]],'Engagement Summary'!B:B,'Engagement Summary'!G:G,"NA",0)</f>
        <v>26752</v>
      </c>
      <c r="Q269" t="str">
        <f>IFERROR(IF(C269 &lt; _xlfn.XLOOKUP(M269, 'Campaign Metadata'!A:A, 'Campaign Metadata'!B:B), "Before", "During"), "Not Found")</f>
        <v>During</v>
      </c>
      <c r="R269" s="13">
        <f>Posts__2[[#This Row],[Engagement]]/Posts__2[[#This Row],[Ad Spend]]</f>
        <v>0.18234150717703348</v>
      </c>
    </row>
    <row r="270" spans="1:18" x14ac:dyDescent="0.3">
      <c r="A270" t="s">
        <v>323</v>
      </c>
      <c r="B270" t="s">
        <v>33</v>
      </c>
      <c r="C270" s="1">
        <v>45590</v>
      </c>
      <c r="D270" t="s">
        <v>82</v>
      </c>
      <c r="E270" t="s">
        <v>162</v>
      </c>
      <c r="F270">
        <v>4661</v>
      </c>
      <c r="G270">
        <v>935</v>
      </c>
      <c r="H270">
        <v>433</v>
      </c>
      <c r="I270">
        <v>23305</v>
      </c>
      <c r="J270">
        <v>22583</v>
      </c>
      <c r="K270">
        <v>63</v>
      </c>
      <c r="L270" t="s">
        <v>48</v>
      </c>
      <c r="M270" t="s">
        <v>15</v>
      </c>
      <c r="N270" s="2">
        <f>(Posts__2[[#This Row],[Likes]]+Posts__2[[#This Row],[Shares]]+Posts__2[[#This Row],[Comments]])/Posts__2[[#This Row],[Impressions]]</f>
        <v>0.25869984981763572</v>
      </c>
      <c r="O270" s="7">
        <f>Posts__2[[#This Row],[Likes]]+Posts__2[[#This Row],[Shares]]+Posts__2[[#This Row],[Comments]]</f>
        <v>6029</v>
      </c>
      <c r="P270" s="7">
        <f>_xlfn.XLOOKUP(Posts__2[[#This Row],[Platform]],'Engagement Summary'!B:B,'Engagement Summary'!G:G,"NA",0)</f>
        <v>30671</v>
      </c>
      <c r="Q270" t="str">
        <f>IFERROR(IF(C270 &lt; _xlfn.XLOOKUP(M270, 'Campaign Metadata'!A:A, 'Campaign Metadata'!B:B), "Before", "During"), "Not Found")</f>
        <v>Before</v>
      </c>
      <c r="R270" s="13">
        <f>Posts__2[[#This Row],[Engagement]]/Posts__2[[#This Row],[Ad Spend]]</f>
        <v>0.1965700498842555</v>
      </c>
    </row>
    <row r="271" spans="1:18" x14ac:dyDescent="0.3">
      <c r="A271" t="s">
        <v>324</v>
      </c>
      <c r="B271" t="s">
        <v>31</v>
      </c>
      <c r="C271" s="1">
        <v>45669</v>
      </c>
      <c r="D271" t="s">
        <v>46</v>
      </c>
      <c r="E271" t="s">
        <v>76</v>
      </c>
      <c r="F271">
        <v>4134</v>
      </c>
      <c r="G271">
        <v>824</v>
      </c>
      <c r="H271">
        <v>99</v>
      </c>
      <c r="I271">
        <v>41340</v>
      </c>
      <c r="J271">
        <v>41050</v>
      </c>
      <c r="K271">
        <v>177</v>
      </c>
      <c r="L271" t="s">
        <v>60</v>
      </c>
      <c r="M271" t="s">
        <v>7</v>
      </c>
      <c r="N271" s="2">
        <f>(Posts__2[[#This Row],[Likes]]+Posts__2[[#This Row],[Shares]]+Posts__2[[#This Row],[Comments]])/Posts__2[[#This Row],[Impressions]]</f>
        <v>0.12232704402515723</v>
      </c>
      <c r="O271" s="7">
        <f>Posts__2[[#This Row],[Likes]]+Posts__2[[#This Row],[Shares]]+Posts__2[[#This Row],[Comments]]</f>
        <v>5057</v>
      </c>
      <c r="P271" s="7">
        <f>_xlfn.XLOOKUP(Posts__2[[#This Row],[Platform]],'Engagement Summary'!B:B,'Engagement Summary'!G:G,"NA",0)</f>
        <v>9566</v>
      </c>
      <c r="Q271" t="str">
        <f>IFERROR(IF(C271 &lt; _xlfn.XLOOKUP(M271, 'Campaign Metadata'!A:A, 'Campaign Metadata'!B:B), "Before", "During"), "Not Found")</f>
        <v>During</v>
      </c>
      <c r="R271" s="13">
        <f>Posts__2[[#This Row],[Engagement]]/Posts__2[[#This Row],[Ad Spend]]</f>
        <v>0.52864311101818939</v>
      </c>
    </row>
    <row r="272" spans="1:18" x14ac:dyDescent="0.3">
      <c r="A272" t="s">
        <v>325</v>
      </c>
      <c r="B272" t="s">
        <v>31</v>
      </c>
      <c r="C272" s="1">
        <v>45576</v>
      </c>
      <c r="D272" t="s">
        <v>68</v>
      </c>
      <c r="E272" t="s">
        <v>73</v>
      </c>
      <c r="F272">
        <v>400</v>
      </c>
      <c r="G272">
        <v>680</v>
      </c>
      <c r="H272">
        <v>434</v>
      </c>
      <c r="I272">
        <v>6400</v>
      </c>
      <c r="J272">
        <v>5472</v>
      </c>
      <c r="K272">
        <v>160</v>
      </c>
      <c r="L272" t="s">
        <v>48</v>
      </c>
      <c r="M272" t="s">
        <v>11</v>
      </c>
      <c r="N272" s="2">
        <f>(Posts__2[[#This Row],[Likes]]+Posts__2[[#This Row],[Shares]]+Posts__2[[#This Row],[Comments]])/Posts__2[[#This Row],[Impressions]]</f>
        <v>0.23656250000000001</v>
      </c>
      <c r="O272" s="7">
        <f>Posts__2[[#This Row],[Likes]]+Posts__2[[#This Row],[Shares]]+Posts__2[[#This Row],[Comments]]</f>
        <v>1514</v>
      </c>
      <c r="P272" s="7">
        <f>_xlfn.XLOOKUP(Posts__2[[#This Row],[Platform]],'Engagement Summary'!B:B,'Engagement Summary'!G:G,"NA",0)</f>
        <v>9566</v>
      </c>
      <c r="Q272" t="str">
        <f>IFERROR(IF(C272 &lt; _xlfn.XLOOKUP(M272, 'Campaign Metadata'!A:A, 'Campaign Metadata'!B:B), "Before", "During"), "Not Found")</f>
        <v>During</v>
      </c>
      <c r="R272" s="13">
        <f>Posts__2[[#This Row],[Engagement]]/Posts__2[[#This Row],[Ad Spend]]</f>
        <v>0.15826886891072547</v>
      </c>
    </row>
    <row r="273" spans="1:18" x14ac:dyDescent="0.3">
      <c r="A273" t="s">
        <v>326</v>
      </c>
      <c r="B273" t="s">
        <v>31</v>
      </c>
      <c r="C273" s="1">
        <v>45531</v>
      </c>
      <c r="D273" t="s">
        <v>46</v>
      </c>
      <c r="E273" t="s">
        <v>76</v>
      </c>
      <c r="F273">
        <v>3960</v>
      </c>
      <c r="G273">
        <v>266</v>
      </c>
      <c r="H273">
        <v>8</v>
      </c>
      <c r="I273">
        <v>35640</v>
      </c>
      <c r="J273">
        <v>34850</v>
      </c>
      <c r="K273">
        <v>208</v>
      </c>
      <c r="L273" t="s">
        <v>48</v>
      </c>
      <c r="M273" t="s">
        <v>380</v>
      </c>
      <c r="N273" s="2">
        <f>(Posts__2[[#This Row],[Likes]]+Posts__2[[#This Row],[Shares]]+Posts__2[[#This Row],[Comments]])/Posts__2[[#This Row],[Impressions]]</f>
        <v>0.11879910213243547</v>
      </c>
      <c r="O273" s="7">
        <f>Posts__2[[#This Row],[Likes]]+Posts__2[[#This Row],[Shares]]+Posts__2[[#This Row],[Comments]]</f>
        <v>4234</v>
      </c>
      <c r="P273" s="7">
        <f>_xlfn.XLOOKUP(Posts__2[[#This Row],[Platform]],'Engagement Summary'!B:B,'Engagement Summary'!G:G,"NA",0)</f>
        <v>9566</v>
      </c>
      <c r="Q273" t="str">
        <f>IFERROR(IF(C273 &lt; _xlfn.XLOOKUP(M273, 'Campaign Metadata'!A:A, 'Campaign Metadata'!B:B), "Before", "During"), "Not Found")</f>
        <v>Not Found</v>
      </c>
      <c r="R273" s="13">
        <f>Posts__2[[#This Row],[Engagement]]/Posts__2[[#This Row],[Ad Spend]]</f>
        <v>0.44260924106209493</v>
      </c>
    </row>
    <row r="274" spans="1:18" x14ac:dyDescent="0.3">
      <c r="A274" t="s">
        <v>326</v>
      </c>
      <c r="B274" t="s">
        <v>31</v>
      </c>
      <c r="C274" s="1">
        <v>45531</v>
      </c>
      <c r="D274" t="s">
        <v>46</v>
      </c>
      <c r="E274" t="s">
        <v>76</v>
      </c>
      <c r="F274">
        <v>3960</v>
      </c>
      <c r="G274">
        <v>266</v>
      </c>
      <c r="H274">
        <v>8</v>
      </c>
      <c r="I274">
        <v>35640</v>
      </c>
      <c r="J274">
        <v>34850</v>
      </c>
      <c r="K274">
        <v>208</v>
      </c>
      <c r="L274" t="s">
        <v>60</v>
      </c>
      <c r="M274" t="s">
        <v>380</v>
      </c>
      <c r="N274" s="2">
        <f>(Posts__2[[#This Row],[Likes]]+Posts__2[[#This Row],[Shares]]+Posts__2[[#This Row],[Comments]])/Posts__2[[#This Row],[Impressions]]</f>
        <v>0.11879910213243547</v>
      </c>
      <c r="O274" s="7">
        <f>Posts__2[[#This Row],[Likes]]+Posts__2[[#This Row],[Shares]]+Posts__2[[#This Row],[Comments]]</f>
        <v>4234</v>
      </c>
      <c r="P274" s="7">
        <f>_xlfn.XLOOKUP(Posts__2[[#This Row],[Platform]],'Engagement Summary'!B:B,'Engagement Summary'!G:G,"NA",0)</f>
        <v>9566</v>
      </c>
      <c r="Q274" t="str">
        <f>IFERROR(IF(C274 &lt; _xlfn.XLOOKUP(M274, 'Campaign Metadata'!A:A, 'Campaign Metadata'!B:B), "Before", "During"), "Not Found")</f>
        <v>Not Found</v>
      </c>
      <c r="R274" s="13">
        <f>Posts__2[[#This Row],[Engagement]]/Posts__2[[#This Row],[Ad Spend]]</f>
        <v>0.44260924106209493</v>
      </c>
    </row>
    <row r="275" spans="1:18" x14ac:dyDescent="0.3">
      <c r="A275" t="s">
        <v>326</v>
      </c>
      <c r="B275" t="s">
        <v>31</v>
      </c>
      <c r="C275" s="1">
        <v>45531</v>
      </c>
      <c r="D275" t="s">
        <v>46</v>
      </c>
      <c r="E275" t="s">
        <v>76</v>
      </c>
      <c r="F275">
        <v>3960</v>
      </c>
      <c r="G275">
        <v>266</v>
      </c>
      <c r="H275">
        <v>8</v>
      </c>
      <c r="I275">
        <v>35640</v>
      </c>
      <c r="J275">
        <v>34850</v>
      </c>
      <c r="K275">
        <v>208</v>
      </c>
      <c r="L275" t="s">
        <v>54</v>
      </c>
      <c r="M275" t="s">
        <v>380</v>
      </c>
      <c r="N275" s="2">
        <f>(Posts__2[[#This Row],[Likes]]+Posts__2[[#This Row],[Shares]]+Posts__2[[#This Row],[Comments]])/Posts__2[[#This Row],[Impressions]]</f>
        <v>0.11879910213243547</v>
      </c>
      <c r="O275" s="7">
        <f>Posts__2[[#This Row],[Likes]]+Posts__2[[#This Row],[Shares]]+Posts__2[[#This Row],[Comments]]</f>
        <v>4234</v>
      </c>
      <c r="P275" s="7">
        <f>_xlfn.XLOOKUP(Posts__2[[#This Row],[Platform]],'Engagement Summary'!B:B,'Engagement Summary'!G:G,"NA",0)</f>
        <v>9566</v>
      </c>
      <c r="Q275" t="str">
        <f>IFERROR(IF(C275 &lt; _xlfn.XLOOKUP(M275, 'Campaign Metadata'!A:A, 'Campaign Metadata'!B:B), "Before", "During"), "Not Found")</f>
        <v>Not Found</v>
      </c>
      <c r="R275" s="13">
        <f>Posts__2[[#This Row],[Engagement]]/Posts__2[[#This Row],[Ad Spend]]</f>
        <v>0.44260924106209493</v>
      </c>
    </row>
    <row r="276" spans="1:18" x14ac:dyDescent="0.3">
      <c r="A276" t="s">
        <v>327</v>
      </c>
      <c r="B276" t="s">
        <v>31</v>
      </c>
      <c r="C276" s="1">
        <v>45690</v>
      </c>
      <c r="D276" t="s">
        <v>58</v>
      </c>
      <c r="E276" t="s">
        <v>80</v>
      </c>
      <c r="F276">
        <v>886</v>
      </c>
      <c r="G276">
        <v>126</v>
      </c>
      <c r="H276">
        <v>153</v>
      </c>
      <c r="I276">
        <v>4430</v>
      </c>
      <c r="J276">
        <v>4037</v>
      </c>
      <c r="K276">
        <v>212</v>
      </c>
      <c r="L276" t="s">
        <v>60</v>
      </c>
      <c r="M276" t="s">
        <v>380</v>
      </c>
      <c r="N276" s="2">
        <f>(Posts__2[[#This Row],[Likes]]+Posts__2[[#This Row],[Shares]]+Posts__2[[#This Row],[Comments]])/Posts__2[[#This Row],[Impressions]]</f>
        <v>0.26297968397291194</v>
      </c>
      <c r="O276" s="7">
        <f>Posts__2[[#This Row],[Likes]]+Posts__2[[#This Row],[Shares]]+Posts__2[[#This Row],[Comments]]</f>
        <v>1165</v>
      </c>
      <c r="P276" s="7">
        <f>_xlfn.XLOOKUP(Posts__2[[#This Row],[Platform]],'Engagement Summary'!B:B,'Engagement Summary'!G:G,"NA",0)</f>
        <v>9566</v>
      </c>
      <c r="Q276" t="str">
        <f>IFERROR(IF(C276 &lt; _xlfn.XLOOKUP(M276, 'Campaign Metadata'!A:A, 'Campaign Metadata'!B:B), "Before", "During"), "Not Found")</f>
        <v>Not Found</v>
      </c>
      <c r="R276" s="13">
        <f>Posts__2[[#This Row],[Engagement]]/Posts__2[[#This Row],[Ad Spend]]</f>
        <v>0.12178549027806816</v>
      </c>
    </row>
    <row r="277" spans="1:18" x14ac:dyDescent="0.3">
      <c r="A277" t="s">
        <v>328</v>
      </c>
      <c r="B277" t="s">
        <v>32</v>
      </c>
      <c r="C277" s="1">
        <v>45491</v>
      </c>
      <c r="D277" t="s">
        <v>68</v>
      </c>
      <c r="E277" t="s">
        <v>114</v>
      </c>
      <c r="F277">
        <v>827</v>
      </c>
      <c r="G277">
        <v>77</v>
      </c>
      <c r="H277">
        <v>402</v>
      </c>
      <c r="I277">
        <v>14886</v>
      </c>
      <c r="J277">
        <v>14129</v>
      </c>
      <c r="K277">
        <v>254</v>
      </c>
      <c r="L277" t="s">
        <v>60</v>
      </c>
      <c r="M277" t="s">
        <v>11</v>
      </c>
      <c r="N277" s="2">
        <f>(Posts__2[[#This Row],[Likes]]+Posts__2[[#This Row],[Shares]]+Posts__2[[#This Row],[Comments]])/Posts__2[[#This Row],[Impressions]]</f>
        <v>8.7733440816874911E-2</v>
      </c>
      <c r="O277" s="7">
        <f>Posts__2[[#This Row],[Likes]]+Posts__2[[#This Row],[Shares]]+Posts__2[[#This Row],[Comments]]</f>
        <v>1306</v>
      </c>
      <c r="P277" s="7">
        <f>_xlfn.XLOOKUP(Posts__2[[#This Row],[Platform]],'Engagement Summary'!B:B,'Engagement Summary'!G:G,"NA",0)</f>
        <v>26752</v>
      </c>
      <c r="Q277" t="str">
        <f>IFERROR(IF(C277 &lt; _xlfn.XLOOKUP(M277, 'Campaign Metadata'!A:A, 'Campaign Metadata'!B:B), "Before", "During"), "Not Found")</f>
        <v>Before</v>
      </c>
      <c r="R277" s="13">
        <f>Posts__2[[#This Row],[Engagement]]/Posts__2[[#This Row],[Ad Spend]]</f>
        <v>4.881877990430622E-2</v>
      </c>
    </row>
    <row r="278" spans="1:18" x14ac:dyDescent="0.3">
      <c r="A278" t="s">
        <v>329</v>
      </c>
      <c r="B278" t="s">
        <v>31</v>
      </c>
      <c r="C278" s="1">
        <v>45465</v>
      </c>
      <c r="D278" t="s">
        <v>46</v>
      </c>
      <c r="E278" t="s">
        <v>76</v>
      </c>
      <c r="F278">
        <v>3813</v>
      </c>
      <c r="G278">
        <v>935</v>
      </c>
      <c r="H278">
        <v>274</v>
      </c>
      <c r="I278">
        <v>68634</v>
      </c>
      <c r="J278">
        <v>68488</v>
      </c>
      <c r="K278">
        <v>251</v>
      </c>
      <c r="L278" t="s">
        <v>48</v>
      </c>
      <c r="M278" t="s">
        <v>380</v>
      </c>
      <c r="N278" s="2">
        <f>(Posts__2[[#This Row],[Likes]]+Posts__2[[#This Row],[Shares]]+Posts__2[[#This Row],[Comments]])/Posts__2[[#This Row],[Impressions]]</f>
        <v>7.3170731707317069E-2</v>
      </c>
      <c r="O278" s="7">
        <f>Posts__2[[#This Row],[Likes]]+Posts__2[[#This Row],[Shares]]+Posts__2[[#This Row],[Comments]]</f>
        <v>5022</v>
      </c>
      <c r="P278" s="7">
        <f>_xlfn.XLOOKUP(Posts__2[[#This Row],[Platform]],'Engagement Summary'!B:B,'Engagement Summary'!G:G,"NA",0)</f>
        <v>9566</v>
      </c>
      <c r="Q278" t="str">
        <f>IFERROR(IF(C278 &lt; _xlfn.XLOOKUP(M278, 'Campaign Metadata'!A:A, 'Campaign Metadata'!B:B), "Before", "During"), "Not Found")</f>
        <v>Not Found</v>
      </c>
      <c r="R278" s="13">
        <f>Posts__2[[#This Row],[Engagement]]/Posts__2[[#This Row],[Ad Spend]]</f>
        <v>0.52498431946477109</v>
      </c>
    </row>
    <row r="279" spans="1:18" x14ac:dyDescent="0.3">
      <c r="A279" t="s">
        <v>330</v>
      </c>
      <c r="B279" t="s">
        <v>30</v>
      </c>
      <c r="C279" s="1">
        <v>45743</v>
      </c>
      <c r="D279" t="s">
        <v>63</v>
      </c>
      <c r="E279" t="s">
        <v>91</v>
      </c>
      <c r="F279">
        <v>1377</v>
      </c>
      <c r="G279">
        <v>796</v>
      </c>
      <c r="H279">
        <v>387</v>
      </c>
      <c r="I279">
        <v>22032</v>
      </c>
      <c r="J279">
        <v>21869</v>
      </c>
      <c r="K279">
        <v>189</v>
      </c>
      <c r="L279" t="s">
        <v>48</v>
      </c>
      <c r="M279" t="s">
        <v>380</v>
      </c>
      <c r="N279" s="2">
        <f>(Posts__2[[#This Row],[Likes]]+Posts__2[[#This Row],[Shares]]+Posts__2[[#This Row],[Comments]])/Posts__2[[#This Row],[Impressions]]</f>
        <v>0.11619462599854757</v>
      </c>
      <c r="O279" s="7">
        <f>Posts__2[[#This Row],[Likes]]+Posts__2[[#This Row],[Shares]]+Posts__2[[#This Row],[Comments]]</f>
        <v>2560</v>
      </c>
      <c r="P279" s="7">
        <f>_xlfn.XLOOKUP(Posts__2[[#This Row],[Platform]],'Engagement Summary'!B:B,'Engagement Summary'!G:G,"NA",0)</f>
        <v>5904</v>
      </c>
      <c r="Q279" t="str">
        <f>IFERROR(IF(C279 &lt; _xlfn.XLOOKUP(M279, 'Campaign Metadata'!A:A, 'Campaign Metadata'!B:B), "Before", "During"), "Not Found")</f>
        <v>Not Found</v>
      </c>
      <c r="R279" s="13">
        <f>Posts__2[[#This Row],[Engagement]]/Posts__2[[#This Row],[Ad Spend]]</f>
        <v>0.43360433604336046</v>
      </c>
    </row>
    <row r="280" spans="1:18" x14ac:dyDescent="0.3">
      <c r="A280" t="s">
        <v>331</v>
      </c>
      <c r="B280" t="s">
        <v>31</v>
      </c>
      <c r="C280" s="1">
        <v>45775</v>
      </c>
      <c r="D280" t="s">
        <v>63</v>
      </c>
      <c r="E280" t="s">
        <v>64</v>
      </c>
      <c r="F280">
        <v>2089</v>
      </c>
      <c r="G280">
        <v>476</v>
      </c>
      <c r="H280">
        <v>69</v>
      </c>
      <c r="I280">
        <v>16712</v>
      </c>
      <c r="J280">
        <v>16309</v>
      </c>
      <c r="K280">
        <v>64</v>
      </c>
      <c r="L280" t="s">
        <v>48</v>
      </c>
      <c r="M280" t="s">
        <v>15</v>
      </c>
      <c r="N280" s="2">
        <f>(Posts__2[[#This Row],[Likes]]+Posts__2[[#This Row],[Shares]]+Posts__2[[#This Row],[Comments]])/Posts__2[[#This Row],[Impressions]]</f>
        <v>0.15761129727142173</v>
      </c>
      <c r="O280" s="7">
        <f>Posts__2[[#This Row],[Likes]]+Posts__2[[#This Row],[Shares]]+Posts__2[[#This Row],[Comments]]</f>
        <v>2634</v>
      </c>
      <c r="P280" s="7">
        <f>_xlfn.XLOOKUP(Posts__2[[#This Row],[Platform]],'Engagement Summary'!B:B,'Engagement Summary'!G:G,"NA",0)</f>
        <v>9566</v>
      </c>
      <c r="Q280" t="str">
        <f>IFERROR(IF(C280 &lt; _xlfn.XLOOKUP(M280, 'Campaign Metadata'!A:A, 'Campaign Metadata'!B:B), "Before", "During"), "Not Found")</f>
        <v>During</v>
      </c>
      <c r="R280" s="13">
        <f>Posts__2[[#This Row],[Engagement]]/Posts__2[[#This Row],[Ad Spend]]</f>
        <v>0.2753501986201129</v>
      </c>
    </row>
    <row r="281" spans="1:18" x14ac:dyDescent="0.3">
      <c r="A281" t="s">
        <v>332</v>
      </c>
      <c r="B281" t="s">
        <v>32</v>
      </c>
      <c r="C281" s="1">
        <v>45507</v>
      </c>
      <c r="D281" t="s">
        <v>46</v>
      </c>
      <c r="E281" t="s">
        <v>47</v>
      </c>
      <c r="F281">
        <v>3791</v>
      </c>
      <c r="G281">
        <v>593</v>
      </c>
      <c r="H281">
        <v>228</v>
      </c>
      <c r="I281">
        <v>53074</v>
      </c>
      <c r="J281">
        <v>52613</v>
      </c>
      <c r="K281">
        <v>205</v>
      </c>
      <c r="L281" t="s">
        <v>60</v>
      </c>
      <c r="M281" t="s">
        <v>380</v>
      </c>
      <c r="N281" s="2">
        <f>(Posts__2[[#This Row],[Likes]]+Posts__2[[#This Row],[Shares]]+Posts__2[[#This Row],[Comments]])/Posts__2[[#This Row],[Impressions]]</f>
        <v>8.6897539284772202E-2</v>
      </c>
      <c r="O281" s="7">
        <f>Posts__2[[#This Row],[Likes]]+Posts__2[[#This Row],[Shares]]+Posts__2[[#This Row],[Comments]]</f>
        <v>4612</v>
      </c>
      <c r="P281" s="7">
        <f>_xlfn.XLOOKUP(Posts__2[[#This Row],[Platform]],'Engagement Summary'!B:B,'Engagement Summary'!G:G,"NA",0)</f>
        <v>26752</v>
      </c>
      <c r="Q281" t="str">
        <f>IFERROR(IF(C281 &lt; _xlfn.XLOOKUP(M281, 'Campaign Metadata'!A:A, 'Campaign Metadata'!B:B), "Before", "During"), "Not Found")</f>
        <v>Not Found</v>
      </c>
      <c r="R281" s="13">
        <f>Posts__2[[#This Row],[Engagement]]/Posts__2[[#This Row],[Ad Spend]]</f>
        <v>0.17239832535885166</v>
      </c>
    </row>
    <row r="282" spans="1:18" x14ac:dyDescent="0.3">
      <c r="A282" t="s">
        <v>333</v>
      </c>
      <c r="B282" t="s">
        <v>32</v>
      </c>
      <c r="C282" s="1">
        <v>45671</v>
      </c>
      <c r="D282" t="s">
        <v>68</v>
      </c>
      <c r="E282" t="s">
        <v>114</v>
      </c>
      <c r="F282">
        <v>2692</v>
      </c>
      <c r="G282">
        <v>115</v>
      </c>
      <c r="H282">
        <v>64</v>
      </c>
      <c r="I282">
        <v>21536</v>
      </c>
      <c r="J282">
        <v>21120</v>
      </c>
      <c r="K282">
        <v>224</v>
      </c>
      <c r="L282" t="s">
        <v>48</v>
      </c>
      <c r="M282" t="s">
        <v>11</v>
      </c>
      <c r="N282" s="2">
        <f>(Posts__2[[#This Row],[Likes]]+Posts__2[[#This Row],[Shares]]+Posts__2[[#This Row],[Comments]])/Posts__2[[#This Row],[Impressions]]</f>
        <v>0.13331166419019316</v>
      </c>
      <c r="O282" s="7">
        <f>Posts__2[[#This Row],[Likes]]+Posts__2[[#This Row],[Shares]]+Posts__2[[#This Row],[Comments]]</f>
        <v>2871</v>
      </c>
      <c r="P282" s="7">
        <f>_xlfn.XLOOKUP(Posts__2[[#This Row],[Platform]],'Engagement Summary'!B:B,'Engagement Summary'!G:G,"NA",0)</f>
        <v>26752</v>
      </c>
      <c r="Q282" t="str">
        <f>IFERROR(IF(C282 &lt; _xlfn.XLOOKUP(M282, 'Campaign Metadata'!A:A, 'Campaign Metadata'!B:B), "Before", "During"), "Not Found")</f>
        <v>During</v>
      </c>
      <c r="R282" s="13">
        <f>Posts__2[[#This Row],[Engagement]]/Posts__2[[#This Row],[Ad Spend]]</f>
        <v>0.10731907894736842</v>
      </c>
    </row>
    <row r="283" spans="1:18" x14ac:dyDescent="0.3">
      <c r="A283" t="s">
        <v>334</v>
      </c>
      <c r="B283" t="s">
        <v>31</v>
      </c>
      <c r="C283" s="1">
        <v>45750</v>
      </c>
      <c r="D283" t="s">
        <v>58</v>
      </c>
      <c r="E283" t="s">
        <v>80</v>
      </c>
      <c r="F283">
        <v>3767</v>
      </c>
      <c r="G283">
        <v>514</v>
      </c>
      <c r="H283">
        <v>238</v>
      </c>
      <c r="I283">
        <v>37670</v>
      </c>
      <c r="J283">
        <v>36807</v>
      </c>
      <c r="K283">
        <v>226</v>
      </c>
      <c r="L283" t="s">
        <v>48</v>
      </c>
      <c r="M283" t="s">
        <v>19</v>
      </c>
      <c r="N283" s="2">
        <f>(Posts__2[[#This Row],[Likes]]+Posts__2[[#This Row],[Shares]]+Posts__2[[#This Row],[Comments]])/Posts__2[[#This Row],[Impressions]]</f>
        <v>0.11996283514733209</v>
      </c>
      <c r="O283" s="7">
        <f>Posts__2[[#This Row],[Likes]]+Posts__2[[#This Row],[Shares]]+Posts__2[[#This Row],[Comments]]</f>
        <v>4519</v>
      </c>
      <c r="P283" s="7">
        <f>_xlfn.XLOOKUP(Posts__2[[#This Row],[Platform]],'Engagement Summary'!B:B,'Engagement Summary'!G:G,"NA",0)</f>
        <v>9566</v>
      </c>
      <c r="Q283" t="str">
        <f>IFERROR(IF(C283 &lt; _xlfn.XLOOKUP(M283, 'Campaign Metadata'!A:A, 'Campaign Metadata'!B:B), "Before", "During"), "Not Found")</f>
        <v>During</v>
      </c>
      <c r="R283" s="13">
        <f>Posts__2[[#This Row],[Engagement]]/Posts__2[[#This Row],[Ad Spend]]</f>
        <v>0.47240225799707297</v>
      </c>
    </row>
    <row r="284" spans="1:18" x14ac:dyDescent="0.3">
      <c r="A284" t="s">
        <v>335</v>
      </c>
      <c r="B284" t="s">
        <v>33</v>
      </c>
      <c r="C284" s="1">
        <v>45553</v>
      </c>
      <c r="D284" t="s">
        <v>63</v>
      </c>
      <c r="E284" t="s">
        <v>78</v>
      </c>
      <c r="F284">
        <v>2143</v>
      </c>
      <c r="G284">
        <v>12</v>
      </c>
      <c r="H284">
        <v>204</v>
      </c>
      <c r="I284">
        <v>40717</v>
      </c>
      <c r="J284">
        <v>40125</v>
      </c>
      <c r="K284">
        <v>248</v>
      </c>
      <c r="L284" t="s">
        <v>60</v>
      </c>
      <c r="M284" t="s">
        <v>11</v>
      </c>
      <c r="N284" s="2">
        <f>(Posts__2[[#This Row],[Likes]]+Posts__2[[#This Row],[Shares]]+Posts__2[[#This Row],[Comments]])/Posts__2[[#This Row],[Impressions]]</f>
        <v>5.7936488444630008E-2</v>
      </c>
      <c r="O284" s="7">
        <f>Posts__2[[#This Row],[Likes]]+Posts__2[[#This Row],[Shares]]+Posts__2[[#This Row],[Comments]]</f>
        <v>2359</v>
      </c>
      <c r="P284" s="7">
        <f>_xlfn.XLOOKUP(Posts__2[[#This Row],[Platform]],'Engagement Summary'!B:B,'Engagement Summary'!G:G,"NA",0)</f>
        <v>30671</v>
      </c>
      <c r="Q284" t="str">
        <f>IFERROR(IF(C284 &lt; _xlfn.XLOOKUP(M284, 'Campaign Metadata'!A:A, 'Campaign Metadata'!B:B), "Before", "During"), "Not Found")</f>
        <v>Before</v>
      </c>
      <c r="R284" s="13">
        <f>Posts__2[[#This Row],[Engagement]]/Posts__2[[#This Row],[Ad Spend]]</f>
        <v>7.6913044895829938E-2</v>
      </c>
    </row>
    <row r="285" spans="1:18" x14ac:dyDescent="0.3">
      <c r="A285" t="s">
        <v>336</v>
      </c>
      <c r="B285" t="s">
        <v>31</v>
      </c>
      <c r="C285" s="1">
        <v>45753</v>
      </c>
      <c r="D285" t="s">
        <v>68</v>
      </c>
      <c r="E285" t="s">
        <v>73</v>
      </c>
      <c r="F285">
        <v>3090</v>
      </c>
      <c r="G285">
        <v>697</v>
      </c>
      <c r="H285">
        <v>164</v>
      </c>
      <c r="I285">
        <v>49440</v>
      </c>
      <c r="J285">
        <v>48524</v>
      </c>
      <c r="K285">
        <v>25</v>
      </c>
      <c r="L285" t="s">
        <v>60</v>
      </c>
      <c r="M285" t="s">
        <v>11</v>
      </c>
      <c r="N285" s="2">
        <f>(Posts__2[[#This Row],[Likes]]+Posts__2[[#This Row],[Shares]]+Posts__2[[#This Row],[Comments]])/Posts__2[[#This Row],[Impressions]]</f>
        <v>7.9915048543689318E-2</v>
      </c>
      <c r="O285" s="7">
        <f>Posts__2[[#This Row],[Likes]]+Posts__2[[#This Row],[Shares]]+Posts__2[[#This Row],[Comments]]</f>
        <v>3951</v>
      </c>
      <c r="P285" s="7">
        <f>_xlfn.XLOOKUP(Posts__2[[#This Row],[Platform]],'Engagement Summary'!B:B,'Engagement Summary'!G:G,"NA",0)</f>
        <v>9566</v>
      </c>
      <c r="Q285" t="str">
        <f>IFERROR(IF(C285 &lt; _xlfn.XLOOKUP(M285, 'Campaign Metadata'!A:A, 'Campaign Metadata'!B:B), "Before", "During"), "Not Found")</f>
        <v>During</v>
      </c>
      <c r="R285" s="13">
        <f>Posts__2[[#This Row],[Engagement]]/Posts__2[[#This Row],[Ad Spend]]</f>
        <v>0.41302529793016934</v>
      </c>
    </row>
    <row r="286" spans="1:18" x14ac:dyDescent="0.3">
      <c r="A286" t="s">
        <v>336</v>
      </c>
      <c r="B286" t="s">
        <v>31</v>
      </c>
      <c r="C286" s="1">
        <v>45753</v>
      </c>
      <c r="D286" t="s">
        <v>68</v>
      </c>
      <c r="E286" t="s">
        <v>73</v>
      </c>
      <c r="F286">
        <v>3090</v>
      </c>
      <c r="G286">
        <v>697</v>
      </c>
      <c r="H286">
        <v>164</v>
      </c>
      <c r="I286">
        <v>49440</v>
      </c>
      <c r="J286">
        <v>48524</v>
      </c>
      <c r="K286">
        <v>25</v>
      </c>
      <c r="L286" t="s">
        <v>60</v>
      </c>
      <c r="M286" t="s">
        <v>11</v>
      </c>
      <c r="N286" s="2">
        <f>(Posts__2[[#This Row],[Likes]]+Posts__2[[#This Row],[Shares]]+Posts__2[[#This Row],[Comments]])/Posts__2[[#This Row],[Impressions]]</f>
        <v>7.9915048543689318E-2</v>
      </c>
      <c r="O286" s="7">
        <f>Posts__2[[#This Row],[Likes]]+Posts__2[[#This Row],[Shares]]+Posts__2[[#This Row],[Comments]]</f>
        <v>3951</v>
      </c>
      <c r="P286" s="7">
        <f>_xlfn.XLOOKUP(Posts__2[[#This Row],[Platform]],'Engagement Summary'!B:B,'Engagement Summary'!G:G,"NA",0)</f>
        <v>9566</v>
      </c>
      <c r="Q286" t="str">
        <f>IFERROR(IF(C286 &lt; _xlfn.XLOOKUP(M286, 'Campaign Metadata'!A:A, 'Campaign Metadata'!B:B), "Before", "During"), "Not Found")</f>
        <v>During</v>
      </c>
      <c r="R286" s="13">
        <f>Posts__2[[#This Row],[Engagement]]/Posts__2[[#This Row],[Ad Spend]]</f>
        <v>0.41302529793016934</v>
      </c>
    </row>
    <row r="287" spans="1:18" x14ac:dyDescent="0.3">
      <c r="A287" t="s">
        <v>336</v>
      </c>
      <c r="B287" t="s">
        <v>31</v>
      </c>
      <c r="C287" s="1">
        <v>45753</v>
      </c>
      <c r="D287" t="s">
        <v>68</v>
      </c>
      <c r="E287" t="s">
        <v>73</v>
      </c>
      <c r="F287">
        <v>3090</v>
      </c>
      <c r="G287">
        <v>697</v>
      </c>
      <c r="H287">
        <v>164</v>
      </c>
      <c r="I287">
        <v>49440</v>
      </c>
      <c r="J287">
        <v>48524</v>
      </c>
      <c r="K287">
        <v>25</v>
      </c>
      <c r="L287" t="s">
        <v>54</v>
      </c>
      <c r="M287" t="s">
        <v>11</v>
      </c>
      <c r="N287" s="2">
        <f>(Posts__2[[#This Row],[Likes]]+Posts__2[[#This Row],[Shares]]+Posts__2[[#This Row],[Comments]])/Posts__2[[#This Row],[Impressions]]</f>
        <v>7.9915048543689318E-2</v>
      </c>
      <c r="O287" s="7">
        <f>Posts__2[[#This Row],[Likes]]+Posts__2[[#This Row],[Shares]]+Posts__2[[#This Row],[Comments]]</f>
        <v>3951</v>
      </c>
      <c r="P287" s="7">
        <f>_xlfn.XLOOKUP(Posts__2[[#This Row],[Platform]],'Engagement Summary'!B:B,'Engagement Summary'!G:G,"NA",0)</f>
        <v>9566</v>
      </c>
      <c r="Q287" t="str">
        <f>IFERROR(IF(C287 &lt; _xlfn.XLOOKUP(M287, 'Campaign Metadata'!A:A, 'Campaign Metadata'!B:B), "Before", "During"), "Not Found")</f>
        <v>During</v>
      </c>
      <c r="R287" s="13">
        <f>Posts__2[[#This Row],[Engagement]]/Posts__2[[#This Row],[Ad Spend]]</f>
        <v>0.41302529793016934</v>
      </c>
    </row>
    <row r="288" spans="1:18" x14ac:dyDescent="0.3">
      <c r="A288" t="s">
        <v>337</v>
      </c>
      <c r="B288" t="s">
        <v>30</v>
      </c>
      <c r="C288" s="1">
        <v>45509</v>
      </c>
      <c r="D288" t="s">
        <v>58</v>
      </c>
      <c r="E288" t="s">
        <v>59</v>
      </c>
      <c r="F288">
        <v>3601</v>
      </c>
      <c r="G288">
        <v>695</v>
      </c>
      <c r="H288">
        <v>75</v>
      </c>
      <c r="I288">
        <v>21606</v>
      </c>
      <c r="J288">
        <v>21454</v>
      </c>
      <c r="K288">
        <v>172</v>
      </c>
      <c r="L288" t="s">
        <v>60</v>
      </c>
      <c r="M288" t="s">
        <v>11</v>
      </c>
      <c r="N288" s="2">
        <f>(Posts__2[[#This Row],[Likes]]+Posts__2[[#This Row],[Shares]]+Posts__2[[#This Row],[Comments]])/Posts__2[[#This Row],[Impressions]]</f>
        <v>0.2023049153013052</v>
      </c>
      <c r="O288" s="7">
        <f>Posts__2[[#This Row],[Likes]]+Posts__2[[#This Row],[Shares]]+Posts__2[[#This Row],[Comments]]</f>
        <v>4371</v>
      </c>
      <c r="P288" s="7">
        <f>_xlfn.XLOOKUP(Posts__2[[#This Row],[Platform]],'Engagement Summary'!B:B,'Engagement Summary'!G:G,"NA",0)</f>
        <v>5904</v>
      </c>
      <c r="Q288" t="str">
        <f>IFERROR(IF(C288 &lt; _xlfn.XLOOKUP(M288, 'Campaign Metadata'!A:A, 'Campaign Metadata'!B:B), "Before", "During"), "Not Found")</f>
        <v>Before</v>
      </c>
      <c r="R288" s="13">
        <f>Posts__2[[#This Row],[Engagement]]/Posts__2[[#This Row],[Ad Spend]]</f>
        <v>0.74034552845528456</v>
      </c>
    </row>
    <row r="289" spans="1:18" x14ac:dyDescent="0.3">
      <c r="A289" t="s">
        <v>338</v>
      </c>
      <c r="B289" t="s">
        <v>31</v>
      </c>
      <c r="C289" s="1">
        <v>45698</v>
      </c>
      <c r="D289" t="s">
        <v>51</v>
      </c>
      <c r="E289" t="s">
        <v>71</v>
      </c>
      <c r="F289">
        <v>562</v>
      </c>
      <c r="G289">
        <v>158</v>
      </c>
      <c r="H289">
        <v>149</v>
      </c>
      <c r="I289">
        <v>3372</v>
      </c>
      <c r="J289">
        <v>2940</v>
      </c>
      <c r="K289">
        <v>93</v>
      </c>
      <c r="L289" t="s">
        <v>53</v>
      </c>
      <c r="M289" t="s">
        <v>7</v>
      </c>
      <c r="N289" s="2">
        <f>(Posts__2[[#This Row],[Likes]]+Posts__2[[#This Row],[Shares]]+Posts__2[[#This Row],[Comments]])/Posts__2[[#This Row],[Impressions]]</f>
        <v>0.25771055753262156</v>
      </c>
      <c r="O289" s="7">
        <f>Posts__2[[#This Row],[Likes]]+Posts__2[[#This Row],[Shares]]+Posts__2[[#This Row],[Comments]]</f>
        <v>869</v>
      </c>
      <c r="P289" s="7">
        <f>_xlfn.XLOOKUP(Posts__2[[#This Row],[Platform]],'Engagement Summary'!B:B,'Engagement Summary'!G:G,"NA",0)</f>
        <v>9566</v>
      </c>
      <c r="Q289" t="str">
        <f>IFERROR(IF(C289 &lt; _xlfn.XLOOKUP(M289, 'Campaign Metadata'!A:A, 'Campaign Metadata'!B:B), "Before", "During"), "Not Found")</f>
        <v>During</v>
      </c>
      <c r="R289" s="13">
        <f>Posts__2[[#This Row],[Engagement]]/Posts__2[[#This Row],[Ad Spend]]</f>
        <v>9.0842567426301479E-2</v>
      </c>
    </row>
    <row r="290" spans="1:18" x14ac:dyDescent="0.3">
      <c r="A290" t="s">
        <v>339</v>
      </c>
      <c r="B290" t="s">
        <v>30</v>
      </c>
      <c r="C290" s="1">
        <v>45700</v>
      </c>
      <c r="D290" t="s">
        <v>58</v>
      </c>
      <c r="E290" t="s">
        <v>59</v>
      </c>
      <c r="F290">
        <v>4332</v>
      </c>
      <c r="G290">
        <v>771</v>
      </c>
      <c r="H290">
        <v>219</v>
      </c>
      <c r="I290">
        <v>60648</v>
      </c>
      <c r="J290">
        <v>60397</v>
      </c>
      <c r="K290">
        <v>10</v>
      </c>
      <c r="L290" t="s">
        <v>53</v>
      </c>
      <c r="M290" t="s">
        <v>15</v>
      </c>
      <c r="N290" s="2">
        <f>(Posts__2[[#This Row],[Likes]]+Posts__2[[#This Row],[Shares]]+Posts__2[[#This Row],[Comments]])/Posts__2[[#This Row],[Impressions]]</f>
        <v>8.7752275425405618E-2</v>
      </c>
      <c r="O290" s="7">
        <f>Posts__2[[#This Row],[Likes]]+Posts__2[[#This Row],[Shares]]+Posts__2[[#This Row],[Comments]]</f>
        <v>5322</v>
      </c>
      <c r="P290" s="7">
        <f>_xlfn.XLOOKUP(Posts__2[[#This Row],[Platform]],'Engagement Summary'!B:B,'Engagement Summary'!G:G,"NA",0)</f>
        <v>5904</v>
      </c>
      <c r="Q290" t="str">
        <f>IFERROR(IF(C290 &lt; _xlfn.XLOOKUP(M290, 'Campaign Metadata'!A:A, 'Campaign Metadata'!B:B), "Before", "During"), "Not Found")</f>
        <v>During</v>
      </c>
      <c r="R290" s="13">
        <f>Posts__2[[#This Row],[Engagement]]/Posts__2[[#This Row],[Ad Spend]]</f>
        <v>0.90142276422764223</v>
      </c>
    </row>
    <row r="291" spans="1:18" x14ac:dyDescent="0.3">
      <c r="A291" t="s">
        <v>339</v>
      </c>
      <c r="B291" t="s">
        <v>30</v>
      </c>
      <c r="C291" s="1">
        <v>45700</v>
      </c>
      <c r="D291" t="s">
        <v>58</v>
      </c>
      <c r="E291" t="s">
        <v>59</v>
      </c>
      <c r="F291">
        <v>4332</v>
      </c>
      <c r="G291">
        <v>771</v>
      </c>
      <c r="H291">
        <v>219</v>
      </c>
      <c r="I291">
        <v>60648</v>
      </c>
      <c r="J291">
        <v>60397</v>
      </c>
      <c r="K291">
        <v>10</v>
      </c>
      <c r="L291" t="s">
        <v>60</v>
      </c>
      <c r="M291" t="s">
        <v>15</v>
      </c>
      <c r="N291" s="2">
        <f>(Posts__2[[#This Row],[Likes]]+Posts__2[[#This Row],[Shares]]+Posts__2[[#This Row],[Comments]])/Posts__2[[#This Row],[Impressions]]</f>
        <v>8.7752275425405618E-2</v>
      </c>
      <c r="O291" s="7">
        <f>Posts__2[[#This Row],[Likes]]+Posts__2[[#This Row],[Shares]]+Posts__2[[#This Row],[Comments]]</f>
        <v>5322</v>
      </c>
      <c r="P291" s="7">
        <f>_xlfn.XLOOKUP(Posts__2[[#This Row],[Platform]],'Engagement Summary'!B:B,'Engagement Summary'!G:G,"NA",0)</f>
        <v>5904</v>
      </c>
      <c r="Q291" t="str">
        <f>IFERROR(IF(C291 &lt; _xlfn.XLOOKUP(M291, 'Campaign Metadata'!A:A, 'Campaign Metadata'!B:B), "Before", "During"), "Not Found")</f>
        <v>During</v>
      </c>
      <c r="R291" s="13">
        <f>Posts__2[[#This Row],[Engagement]]/Posts__2[[#This Row],[Ad Spend]]</f>
        <v>0.90142276422764223</v>
      </c>
    </row>
    <row r="292" spans="1:18" x14ac:dyDescent="0.3">
      <c r="A292" t="s">
        <v>339</v>
      </c>
      <c r="B292" t="s">
        <v>30</v>
      </c>
      <c r="C292" s="1">
        <v>45700</v>
      </c>
      <c r="D292" t="s">
        <v>58</v>
      </c>
      <c r="E292" t="s">
        <v>59</v>
      </c>
      <c r="F292">
        <v>4332</v>
      </c>
      <c r="G292">
        <v>771</v>
      </c>
      <c r="H292">
        <v>219</v>
      </c>
      <c r="I292">
        <v>60648</v>
      </c>
      <c r="J292">
        <v>60397</v>
      </c>
      <c r="K292">
        <v>10</v>
      </c>
      <c r="L292" t="s">
        <v>54</v>
      </c>
      <c r="M292" t="s">
        <v>15</v>
      </c>
      <c r="N292" s="2">
        <f>(Posts__2[[#This Row],[Likes]]+Posts__2[[#This Row],[Shares]]+Posts__2[[#This Row],[Comments]])/Posts__2[[#This Row],[Impressions]]</f>
        <v>8.7752275425405618E-2</v>
      </c>
      <c r="O292" s="7">
        <f>Posts__2[[#This Row],[Likes]]+Posts__2[[#This Row],[Shares]]+Posts__2[[#This Row],[Comments]]</f>
        <v>5322</v>
      </c>
      <c r="P292" s="7">
        <f>_xlfn.XLOOKUP(Posts__2[[#This Row],[Platform]],'Engagement Summary'!B:B,'Engagement Summary'!G:G,"NA",0)</f>
        <v>5904</v>
      </c>
      <c r="Q292" t="str">
        <f>IFERROR(IF(C292 &lt; _xlfn.XLOOKUP(M292, 'Campaign Metadata'!A:A, 'Campaign Metadata'!B:B), "Before", "During"), "Not Found")</f>
        <v>During</v>
      </c>
      <c r="R292" s="13">
        <f>Posts__2[[#This Row],[Engagement]]/Posts__2[[#This Row],[Ad Spend]]</f>
        <v>0.90142276422764223</v>
      </c>
    </row>
    <row r="293" spans="1:18" x14ac:dyDescent="0.3">
      <c r="A293" t="s">
        <v>340</v>
      </c>
      <c r="B293" t="s">
        <v>30</v>
      </c>
      <c r="C293" s="1">
        <v>45592</v>
      </c>
      <c r="D293" t="s">
        <v>68</v>
      </c>
      <c r="E293" t="s">
        <v>160</v>
      </c>
      <c r="F293">
        <v>4853</v>
      </c>
      <c r="G293">
        <v>837</v>
      </c>
      <c r="H293">
        <v>340</v>
      </c>
      <c r="I293">
        <v>72795</v>
      </c>
      <c r="J293">
        <v>72237</v>
      </c>
      <c r="K293">
        <v>170</v>
      </c>
      <c r="L293" t="s">
        <v>60</v>
      </c>
      <c r="M293" t="s">
        <v>7</v>
      </c>
      <c r="N293" s="2">
        <f>(Posts__2[[#This Row],[Likes]]+Posts__2[[#This Row],[Shares]]+Posts__2[[#This Row],[Comments]])/Posts__2[[#This Row],[Impressions]]</f>
        <v>8.2835359571399134E-2</v>
      </c>
      <c r="O293" s="7">
        <f>Posts__2[[#This Row],[Likes]]+Posts__2[[#This Row],[Shares]]+Posts__2[[#This Row],[Comments]]</f>
        <v>6030</v>
      </c>
      <c r="P293" s="7">
        <f>_xlfn.XLOOKUP(Posts__2[[#This Row],[Platform]],'Engagement Summary'!B:B,'Engagement Summary'!G:G,"NA",0)</f>
        <v>5904</v>
      </c>
      <c r="Q293" t="str">
        <f>IFERROR(IF(C293 &lt; _xlfn.XLOOKUP(M293, 'Campaign Metadata'!A:A, 'Campaign Metadata'!B:B), "Before", "During"), "Not Found")</f>
        <v>During</v>
      </c>
      <c r="R293" s="13">
        <f>Posts__2[[#This Row],[Engagement]]/Posts__2[[#This Row],[Ad Spend]]</f>
        <v>1.0213414634146341</v>
      </c>
    </row>
    <row r="294" spans="1:18" x14ac:dyDescent="0.3">
      <c r="A294" t="s">
        <v>341</v>
      </c>
      <c r="B294" t="s">
        <v>33</v>
      </c>
      <c r="C294" s="1">
        <v>45675</v>
      </c>
      <c r="D294" t="s">
        <v>68</v>
      </c>
      <c r="E294" t="s">
        <v>69</v>
      </c>
      <c r="F294">
        <v>1206</v>
      </c>
      <c r="G294">
        <v>238</v>
      </c>
      <c r="H294">
        <v>36</v>
      </c>
      <c r="I294">
        <v>9648</v>
      </c>
      <c r="J294">
        <v>9417</v>
      </c>
      <c r="K294">
        <v>237</v>
      </c>
      <c r="L294" t="s">
        <v>53</v>
      </c>
      <c r="M294" t="s">
        <v>380</v>
      </c>
      <c r="N294" s="2">
        <f>(Posts__2[[#This Row],[Likes]]+Posts__2[[#This Row],[Shares]]+Posts__2[[#This Row],[Comments]])/Posts__2[[#This Row],[Impressions]]</f>
        <v>0.15339966832504145</v>
      </c>
      <c r="O294" s="7">
        <f>Posts__2[[#This Row],[Likes]]+Posts__2[[#This Row],[Shares]]+Posts__2[[#This Row],[Comments]]</f>
        <v>1480</v>
      </c>
      <c r="P294" s="7">
        <f>_xlfn.XLOOKUP(Posts__2[[#This Row],[Platform]],'Engagement Summary'!B:B,'Engagement Summary'!G:G,"NA",0)</f>
        <v>30671</v>
      </c>
      <c r="Q294" t="str">
        <f>IFERROR(IF(C294 &lt; _xlfn.XLOOKUP(M294, 'Campaign Metadata'!A:A, 'Campaign Metadata'!B:B), "Before", "During"), "Not Found")</f>
        <v>Not Found</v>
      </c>
      <c r="R294" s="13">
        <f>Posts__2[[#This Row],[Engagement]]/Posts__2[[#This Row],[Ad Spend]]</f>
        <v>4.8254051058002671E-2</v>
      </c>
    </row>
    <row r="295" spans="1:18" x14ac:dyDescent="0.3">
      <c r="A295" t="s">
        <v>342</v>
      </c>
      <c r="B295" t="s">
        <v>30</v>
      </c>
      <c r="C295" s="1">
        <v>45524</v>
      </c>
      <c r="D295" t="s">
        <v>46</v>
      </c>
      <c r="E295" t="s">
        <v>87</v>
      </c>
      <c r="F295">
        <v>2603</v>
      </c>
      <c r="G295">
        <v>690</v>
      </c>
      <c r="H295">
        <v>205</v>
      </c>
      <c r="I295">
        <v>13015</v>
      </c>
      <c r="J295">
        <v>12130</v>
      </c>
      <c r="K295">
        <v>20</v>
      </c>
      <c r="L295" t="s">
        <v>48</v>
      </c>
      <c r="M295" t="s">
        <v>11</v>
      </c>
      <c r="N295" s="2">
        <f>(Posts__2[[#This Row],[Likes]]+Posts__2[[#This Row],[Shares]]+Posts__2[[#This Row],[Comments]])/Posts__2[[#This Row],[Impressions]]</f>
        <v>0.26876680752977333</v>
      </c>
      <c r="O295" s="7">
        <f>Posts__2[[#This Row],[Likes]]+Posts__2[[#This Row],[Shares]]+Posts__2[[#This Row],[Comments]]</f>
        <v>3498</v>
      </c>
      <c r="P295" s="7">
        <f>_xlfn.XLOOKUP(Posts__2[[#This Row],[Platform]],'Engagement Summary'!B:B,'Engagement Summary'!G:G,"NA",0)</f>
        <v>5904</v>
      </c>
      <c r="Q295" t="str">
        <f>IFERROR(IF(C295 &lt; _xlfn.XLOOKUP(M295, 'Campaign Metadata'!A:A, 'Campaign Metadata'!B:B), "Before", "During"), "Not Found")</f>
        <v>Before</v>
      </c>
      <c r="R295" s="13">
        <f>Posts__2[[#This Row],[Engagement]]/Posts__2[[#This Row],[Ad Spend]]</f>
        <v>0.59247967479674801</v>
      </c>
    </row>
    <row r="296" spans="1:18" x14ac:dyDescent="0.3">
      <c r="A296" t="s">
        <v>343</v>
      </c>
      <c r="B296" t="s">
        <v>32</v>
      </c>
      <c r="C296" s="1">
        <v>45687</v>
      </c>
      <c r="D296" t="s">
        <v>68</v>
      </c>
      <c r="E296" t="s">
        <v>114</v>
      </c>
      <c r="F296">
        <v>59</v>
      </c>
      <c r="G296">
        <v>163</v>
      </c>
      <c r="H296">
        <v>93</v>
      </c>
      <c r="I296">
        <v>590</v>
      </c>
      <c r="J296">
        <v>475</v>
      </c>
      <c r="K296">
        <v>293</v>
      </c>
      <c r="L296" t="s">
        <v>53</v>
      </c>
      <c r="M296" t="s">
        <v>11</v>
      </c>
      <c r="N296" s="2">
        <f>(Posts__2[[#This Row],[Likes]]+Posts__2[[#This Row],[Shares]]+Posts__2[[#This Row],[Comments]])/Posts__2[[#This Row],[Impressions]]</f>
        <v>0.53389830508474578</v>
      </c>
      <c r="O296" s="7">
        <f>Posts__2[[#This Row],[Likes]]+Posts__2[[#This Row],[Shares]]+Posts__2[[#This Row],[Comments]]</f>
        <v>315</v>
      </c>
      <c r="P296" s="7">
        <f>_xlfn.XLOOKUP(Posts__2[[#This Row],[Platform]],'Engagement Summary'!B:B,'Engagement Summary'!G:G,"NA",0)</f>
        <v>26752</v>
      </c>
      <c r="Q296" t="str">
        <f>IFERROR(IF(C296 &lt; _xlfn.XLOOKUP(M296, 'Campaign Metadata'!A:A, 'Campaign Metadata'!B:B), "Before", "During"), "Not Found")</f>
        <v>During</v>
      </c>
      <c r="R296" s="13">
        <f>Posts__2[[#This Row],[Engagement]]/Posts__2[[#This Row],[Ad Spend]]</f>
        <v>1.1774820574162679E-2</v>
      </c>
    </row>
    <row r="297" spans="1:18" x14ac:dyDescent="0.3">
      <c r="A297" t="s">
        <v>344</v>
      </c>
      <c r="B297" t="s">
        <v>32</v>
      </c>
      <c r="C297" s="1">
        <v>45708</v>
      </c>
      <c r="D297" t="s">
        <v>63</v>
      </c>
      <c r="E297" t="s">
        <v>66</v>
      </c>
      <c r="F297">
        <v>1877</v>
      </c>
      <c r="G297">
        <v>745</v>
      </c>
      <c r="H297">
        <v>225</v>
      </c>
      <c r="I297">
        <v>11262</v>
      </c>
      <c r="J297">
        <v>10967</v>
      </c>
      <c r="K297">
        <v>41</v>
      </c>
      <c r="L297" t="s">
        <v>60</v>
      </c>
      <c r="M297" t="s">
        <v>19</v>
      </c>
      <c r="N297" s="2">
        <f>(Posts__2[[#This Row],[Likes]]+Posts__2[[#This Row],[Shares]]+Posts__2[[#This Row],[Comments]])/Posts__2[[#This Row],[Impressions]]</f>
        <v>0.25279701651571657</v>
      </c>
      <c r="O297" s="7">
        <f>Posts__2[[#This Row],[Likes]]+Posts__2[[#This Row],[Shares]]+Posts__2[[#This Row],[Comments]]</f>
        <v>2847</v>
      </c>
      <c r="P297" s="7">
        <f>_xlfn.XLOOKUP(Posts__2[[#This Row],[Platform]],'Engagement Summary'!B:B,'Engagement Summary'!G:G,"NA",0)</f>
        <v>26752</v>
      </c>
      <c r="Q297" t="str">
        <f>IFERROR(IF(C297 &lt; _xlfn.XLOOKUP(M297, 'Campaign Metadata'!A:A, 'Campaign Metadata'!B:B), "Before", "During"), "Not Found")</f>
        <v>Before</v>
      </c>
      <c r="R297" s="13">
        <f>Posts__2[[#This Row],[Engagement]]/Posts__2[[#This Row],[Ad Spend]]</f>
        <v>0.10642194976076555</v>
      </c>
    </row>
    <row r="298" spans="1:18" x14ac:dyDescent="0.3">
      <c r="A298" t="s">
        <v>345</v>
      </c>
      <c r="B298" t="s">
        <v>31</v>
      </c>
      <c r="C298" s="1">
        <v>45621</v>
      </c>
      <c r="D298" t="s">
        <v>58</v>
      </c>
      <c r="E298" t="s">
        <v>80</v>
      </c>
      <c r="F298">
        <v>4182</v>
      </c>
      <c r="G298">
        <v>640</v>
      </c>
      <c r="H298">
        <v>240</v>
      </c>
      <c r="I298">
        <v>50184</v>
      </c>
      <c r="J298">
        <v>49351</v>
      </c>
      <c r="K298">
        <v>10</v>
      </c>
      <c r="L298" t="s">
        <v>53</v>
      </c>
      <c r="M298" t="s">
        <v>15</v>
      </c>
      <c r="N298" s="2">
        <f>(Posts__2[[#This Row],[Likes]]+Posts__2[[#This Row],[Shares]]+Posts__2[[#This Row],[Comments]])/Posts__2[[#This Row],[Impressions]]</f>
        <v>0.10086880280567512</v>
      </c>
      <c r="O298" s="7">
        <f>Posts__2[[#This Row],[Likes]]+Posts__2[[#This Row],[Shares]]+Posts__2[[#This Row],[Comments]]</f>
        <v>5062</v>
      </c>
      <c r="P298" s="7">
        <f>_xlfn.XLOOKUP(Posts__2[[#This Row],[Platform]],'Engagement Summary'!B:B,'Engagement Summary'!G:G,"NA",0)</f>
        <v>9566</v>
      </c>
      <c r="Q298" t="str">
        <f>IFERROR(IF(C298 &lt; _xlfn.XLOOKUP(M298, 'Campaign Metadata'!A:A, 'Campaign Metadata'!B:B), "Before", "During"), "Not Found")</f>
        <v>Before</v>
      </c>
      <c r="R298" s="13">
        <f>Posts__2[[#This Row],[Engagement]]/Posts__2[[#This Row],[Ad Spend]]</f>
        <v>0.52916579552582066</v>
      </c>
    </row>
    <row r="299" spans="1:18" x14ac:dyDescent="0.3">
      <c r="A299" t="s">
        <v>346</v>
      </c>
      <c r="B299" t="s">
        <v>32</v>
      </c>
      <c r="C299" s="1">
        <v>45569</v>
      </c>
      <c r="D299" t="s">
        <v>46</v>
      </c>
      <c r="E299" t="s">
        <v>47</v>
      </c>
      <c r="F299">
        <v>4187</v>
      </c>
      <c r="G299">
        <v>66</v>
      </c>
      <c r="H299">
        <v>31</v>
      </c>
      <c r="I299">
        <v>66992</v>
      </c>
      <c r="J299">
        <v>66614</v>
      </c>
      <c r="K299">
        <v>62</v>
      </c>
      <c r="L299" t="s">
        <v>48</v>
      </c>
      <c r="M299" t="s">
        <v>380</v>
      </c>
      <c r="N299" s="2">
        <f>(Posts__2[[#This Row],[Likes]]+Posts__2[[#This Row],[Shares]]+Posts__2[[#This Row],[Comments]])/Posts__2[[#This Row],[Impressions]]</f>
        <v>6.3947934081681396E-2</v>
      </c>
      <c r="O299" s="7">
        <f>Posts__2[[#This Row],[Likes]]+Posts__2[[#This Row],[Shares]]+Posts__2[[#This Row],[Comments]]</f>
        <v>4284</v>
      </c>
      <c r="P299" s="7">
        <f>_xlfn.XLOOKUP(Posts__2[[#This Row],[Platform]],'Engagement Summary'!B:B,'Engagement Summary'!G:G,"NA",0)</f>
        <v>26752</v>
      </c>
      <c r="Q299" t="str">
        <f>IFERROR(IF(C299 &lt; _xlfn.XLOOKUP(M299, 'Campaign Metadata'!A:A, 'Campaign Metadata'!B:B), "Before", "During"), "Not Found")</f>
        <v>Not Found</v>
      </c>
      <c r="R299" s="13">
        <f>Posts__2[[#This Row],[Engagement]]/Posts__2[[#This Row],[Ad Spend]]</f>
        <v>0.16013755980861244</v>
      </c>
    </row>
    <row r="300" spans="1:18" x14ac:dyDescent="0.3">
      <c r="A300" t="s">
        <v>347</v>
      </c>
      <c r="B300" t="s">
        <v>30</v>
      </c>
      <c r="C300" s="1">
        <v>45760</v>
      </c>
      <c r="D300" t="s">
        <v>46</v>
      </c>
      <c r="E300" t="s">
        <v>87</v>
      </c>
      <c r="F300">
        <v>4579</v>
      </c>
      <c r="G300">
        <v>125</v>
      </c>
      <c r="H300">
        <v>300</v>
      </c>
      <c r="I300">
        <v>59527</v>
      </c>
      <c r="J300">
        <v>59400</v>
      </c>
      <c r="K300">
        <v>269</v>
      </c>
      <c r="L300" t="s">
        <v>60</v>
      </c>
      <c r="M300" t="s">
        <v>7</v>
      </c>
      <c r="N300" s="2">
        <f>(Posts__2[[#This Row],[Likes]]+Posts__2[[#This Row],[Shares]]+Posts__2[[#This Row],[Comments]])/Posts__2[[#This Row],[Impressions]]</f>
        <v>8.4062694239588759E-2</v>
      </c>
      <c r="O300" s="7">
        <f>Posts__2[[#This Row],[Likes]]+Posts__2[[#This Row],[Shares]]+Posts__2[[#This Row],[Comments]]</f>
        <v>5004</v>
      </c>
      <c r="P300" s="7">
        <f>_xlfn.XLOOKUP(Posts__2[[#This Row],[Platform]],'Engagement Summary'!B:B,'Engagement Summary'!G:G,"NA",0)</f>
        <v>5904</v>
      </c>
      <c r="Q300" t="str">
        <f>IFERROR(IF(C300 &lt; _xlfn.XLOOKUP(M300, 'Campaign Metadata'!A:A, 'Campaign Metadata'!B:B), "Before", "During"), "Not Found")</f>
        <v>During</v>
      </c>
      <c r="R300" s="13">
        <f>Posts__2[[#This Row],[Engagement]]/Posts__2[[#This Row],[Ad Spend]]</f>
        <v>0.84756097560975607</v>
      </c>
    </row>
    <row r="301" spans="1:18" x14ac:dyDescent="0.3">
      <c r="A301" t="s">
        <v>348</v>
      </c>
      <c r="B301" t="s">
        <v>30</v>
      </c>
      <c r="C301" s="1">
        <v>45601</v>
      </c>
      <c r="D301" t="s">
        <v>82</v>
      </c>
      <c r="E301" t="s">
        <v>89</v>
      </c>
      <c r="F301">
        <v>4561</v>
      </c>
      <c r="G301">
        <v>51</v>
      </c>
      <c r="H301">
        <v>441</v>
      </c>
      <c r="I301">
        <v>22805</v>
      </c>
      <c r="J301">
        <v>21890</v>
      </c>
      <c r="K301">
        <v>45</v>
      </c>
      <c r="L301" t="s">
        <v>53</v>
      </c>
      <c r="M301" t="s">
        <v>11</v>
      </c>
      <c r="N301" s="2">
        <f>(Posts__2[[#This Row],[Likes]]+Posts__2[[#This Row],[Shares]]+Posts__2[[#This Row],[Comments]])/Posts__2[[#This Row],[Impressions]]</f>
        <v>0.22157421618066214</v>
      </c>
      <c r="O301" s="7">
        <f>Posts__2[[#This Row],[Likes]]+Posts__2[[#This Row],[Shares]]+Posts__2[[#This Row],[Comments]]</f>
        <v>5053</v>
      </c>
      <c r="P301" s="7">
        <f>_xlfn.XLOOKUP(Posts__2[[#This Row],[Platform]],'Engagement Summary'!B:B,'Engagement Summary'!G:G,"NA",0)</f>
        <v>5904</v>
      </c>
      <c r="Q301" t="str">
        <f>IFERROR(IF(C301 &lt; _xlfn.XLOOKUP(M301, 'Campaign Metadata'!A:A, 'Campaign Metadata'!B:B), "Before", "During"), "Not Found")</f>
        <v>During</v>
      </c>
      <c r="R301" s="13">
        <f>Posts__2[[#This Row],[Engagement]]/Posts__2[[#This Row],[Ad Spend]]</f>
        <v>0.85586043360433606</v>
      </c>
    </row>
    <row r="302" spans="1:18" x14ac:dyDescent="0.3">
      <c r="A302" t="s">
        <v>349</v>
      </c>
      <c r="B302" t="s">
        <v>33</v>
      </c>
      <c r="C302" s="1">
        <v>45672</v>
      </c>
      <c r="D302" t="s">
        <v>46</v>
      </c>
      <c r="E302" t="s">
        <v>56</v>
      </c>
      <c r="F302">
        <v>3774</v>
      </c>
      <c r="G302">
        <v>239</v>
      </c>
      <c r="H302">
        <v>39</v>
      </c>
      <c r="I302">
        <v>60384</v>
      </c>
      <c r="J302">
        <v>59490</v>
      </c>
      <c r="K302">
        <v>241</v>
      </c>
      <c r="L302" t="s">
        <v>53</v>
      </c>
      <c r="M302" t="s">
        <v>15</v>
      </c>
      <c r="N302" s="2">
        <f>(Posts__2[[#This Row],[Likes]]+Posts__2[[#This Row],[Shares]]+Posts__2[[#This Row],[Comments]])/Posts__2[[#This Row],[Impressions]]</f>
        <v>6.7103868574456813E-2</v>
      </c>
      <c r="O302" s="7">
        <f>Posts__2[[#This Row],[Likes]]+Posts__2[[#This Row],[Shares]]+Posts__2[[#This Row],[Comments]]</f>
        <v>4052</v>
      </c>
      <c r="P302" s="7">
        <f>_xlfn.XLOOKUP(Posts__2[[#This Row],[Platform]],'Engagement Summary'!B:B,'Engagement Summary'!G:G,"NA",0)</f>
        <v>30671</v>
      </c>
      <c r="Q302" t="str">
        <f>IFERROR(IF(C302 &lt; _xlfn.XLOOKUP(M302, 'Campaign Metadata'!A:A, 'Campaign Metadata'!B:B), "Before", "During"), "Not Found")</f>
        <v>During</v>
      </c>
      <c r="R302" s="13">
        <f>Posts__2[[#This Row],[Engagement]]/Posts__2[[#This Row],[Ad Spend]]</f>
        <v>0.13211176681555867</v>
      </c>
    </row>
    <row r="303" spans="1:18" x14ac:dyDescent="0.3">
      <c r="A303" t="s">
        <v>350</v>
      </c>
      <c r="B303" t="s">
        <v>30</v>
      </c>
      <c r="C303" s="1">
        <v>45582</v>
      </c>
      <c r="D303" t="s">
        <v>82</v>
      </c>
      <c r="E303" t="s">
        <v>89</v>
      </c>
      <c r="F303">
        <v>3575</v>
      </c>
      <c r="G303">
        <v>749</v>
      </c>
      <c r="H303">
        <v>111</v>
      </c>
      <c r="I303">
        <v>21450</v>
      </c>
      <c r="J303">
        <v>20785</v>
      </c>
      <c r="K303">
        <v>195</v>
      </c>
      <c r="L303" t="s">
        <v>60</v>
      </c>
      <c r="M303" t="s">
        <v>11</v>
      </c>
      <c r="N303" s="2">
        <f>(Posts__2[[#This Row],[Likes]]+Posts__2[[#This Row],[Shares]]+Posts__2[[#This Row],[Comments]])/Posts__2[[#This Row],[Impressions]]</f>
        <v>0.20675990675990677</v>
      </c>
      <c r="O303" s="7">
        <f>Posts__2[[#This Row],[Likes]]+Posts__2[[#This Row],[Shares]]+Posts__2[[#This Row],[Comments]]</f>
        <v>4435</v>
      </c>
      <c r="P303" s="7">
        <f>_xlfn.XLOOKUP(Posts__2[[#This Row],[Platform]],'Engagement Summary'!B:B,'Engagement Summary'!G:G,"NA",0)</f>
        <v>5904</v>
      </c>
      <c r="Q303" t="str">
        <f>IFERROR(IF(C303 &lt; _xlfn.XLOOKUP(M303, 'Campaign Metadata'!A:A, 'Campaign Metadata'!B:B), "Before", "During"), "Not Found")</f>
        <v>During</v>
      </c>
      <c r="R303" s="13">
        <f>Posts__2[[#This Row],[Engagement]]/Posts__2[[#This Row],[Ad Spend]]</f>
        <v>0.75118563685636852</v>
      </c>
    </row>
    <row r="304" spans="1:18" x14ac:dyDescent="0.3">
      <c r="A304" t="s">
        <v>351</v>
      </c>
      <c r="B304" t="s">
        <v>30</v>
      </c>
      <c r="C304" s="1">
        <v>45743</v>
      </c>
      <c r="D304" t="s">
        <v>51</v>
      </c>
      <c r="E304" t="s">
        <v>104</v>
      </c>
      <c r="F304">
        <v>4941</v>
      </c>
      <c r="G304">
        <v>414</v>
      </c>
      <c r="H304">
        <v>266</v>
      </c>
      <c r="I304">
        <v>39528</v>
      </c>
      <c r="J304">
        <v>39154</v>
      </c>
      <c r="K304">
        <v>217</v>
      </c>
      <c r="L304" t="s">
        <v>53</v>
      </c>
      <c r="M304" t="s">
        <v>15</v>
      </c>
      <c r="N304" s="2">
        <f>(Posts__2[[#This Row],[Likes]]+Posts__2[[#This Row],[Shares]]+Posts__2[[#This Row],[Comments]])/Posts__2[[#This Row],[Impressions]]</f>
        <v>0.14220299534507186</v>
      </c>
      <c r="O304" s="7">
        <f>Posts__2[[#This Row],[Likes]]+Posts__2[[#This Row],[Shares]]+Posts__2[[#This Row],[Comments]]</f>
        <v>5621</v>
      </c>
      <c r="P304" s="7">
        <f>_xlfn.XLOOKUP(Posts__2[[#This Row],[Platform]],'Engagement Summary'!B:B,'Engagement Summary'!G:G,"NA",0)</f>
        <v>5904</v>
      </c>
      <c r="Q304" t="str">
        <f>IFERROR(IF(C304 &lt; _xlfn.XLOOKUP(M304, 'Campaign Metadata'!A:A, 'Campaign Metadata'!B:B), "Before", "During"), "Not Found")</f>
        <v>During</v>
      </c>
      <c r="R304" s="13">
        <f>Posts__2[[#This Row],[Engagement]]/Posts__2[[#This Row],[Ad Spend]]</f>
        <v>0.95206639566395668</v>
      </c>
    </row>
    <row r="305" spans="1:18" x14ac:dyDescent="0.3">
      <c r="A305" t="s">
        <v>352</v>
      </c>
      <c r="B305" t="s">
        <v>33</v>
      </c>
      <c r="C305" s="1">
        <v>45577</v>
      </c>
      <c r="D305" t="s">
        <v>58</v>
      </c>
      <c r="E305" t="s">
        <v>127</v>
      </c>
      <c r="F305">
        <v>3641</v>
      </c>
      <c r="G305">
        <v>226</v>
      </c>
      <c r="H305">
        <v>46</v>
      </c>
      <c r="I305">
        <v>40051</v>
      </c>
      <c r="J305">
        <v>39319</v>
      </c>
      <c r="K305">
        <v>296</v>
      </c>
      <c r="L305" t="s">
        <v>60</v>
      </c>
      <c r="M305" t="s">
        <v>19</v>
      </c>
      <c r="N305" s="2">
        <f>(Posts__2[[#This Row],[Likes]]+Posts__2[[#This Row],[Shares]]+Posts__2[[#This Row],[Comments]])/Posts__2[[#This Row],[Impressions]]</f>
        <v>9.7700431949264685E-2</v>
      </c>
      <c r="O305" s="7">
        <f>Posts__2[[#This Row],[Likes]]+Posts__2[[#This Row],[Shares]]+Posts__2[[#This Row],[Comments]]</f>
        <v>3913</v>
      </c>
      <c r="P305" s="7">
        <f>_xlfn.XLOOKUP(Posts__2[[#This Row],[Platform]],'Engagement Summary'!B:B,'Engagement Summary'!G:G,"NA",0)</f>
        <v>30671</v>
      </c>
      <c r="Q305" t="str">
        <f>IFERROR(IF(C305 &lt; _xlfn.XLOOKUP(M305, 'Campaign Metadata'!A:A, 'Campaign Metadata'!B:B), "Before", "During"), "Not Found")</f>
        <v>Before</v>
      </c>
      <c r="R305" s="13">
        <f>Posts__2[[#This Row],[Engagement]]/Posts__2[[#This Row],[Ad Spend]]</f>
        <v>0.12757979850673273</v>
      </c>
    </row>
    <row r="306" spans="1:18" x14ac:dyDescent="0.3">
      <c r="A306" t="s">
        <v>353</v>
      </c>
      <c r="B306" t="s">
        <v>32</v>
      </c>
      <c r="C306" s="1">
        <v>45658</v>
      </c>
      <c r="D306" t="s">
        <v>63</v>
      </c>
      <c r="E306" t="s">
        <v>66</v>
      </c>
      <c r="F306">
        <v>3535</v>
      </c>
      <c r="G306">
        <v>494</v>
      </c>
      <c r="H306">
        <v>152</v>
      </c>
      <c r="I306">
        <v>53025</v>
      </c>
      <c r="J306">
        <v>52791</v>
      </c>
      <c r="K306">
        <v>44</v>
      </c>
      <c r="L306" t="s">
        <v>53</v>
      </c>
      <c r="M306" t="s">
        <v>19</v>
      </c>
      <c r="N306" s="2">
        <f>(Posts__2[[#This Row],[Likes]]+Posts__2[[#This Row],[Shares]]+Posts__2[[#This Row],[Comments]])/Posts__2[[#This Row],[Impressions]]</f>
        <v>7.8849599245638849E-2</v>
      </c>
      <c r="O306" s="7">
        <f>Posts__2[[#This Row],[Likes]]+Posts__2[[#This Row],[Shares]]+Posts__2[[#This Row],[Comments]]</f>
        <v>4181</v>
      </c>
      <c r="P306" s="7">
        <f>_xlfn.XLOOKUP(Posts__2[[#This Row],[Platform]],'Engagement Summary'!B:B,'Engagement Summary'!G:G,"NA",0)</f>
        <v>26752</v>
      </c>
      <c r="Q306" t="str">
        <f>IFERROR(IF(C306 &lt; _xlfn.XLOOKUP(M306, 'Campaign Metadata'!A:A, 'Campaign Metadata'!B:B), "Before", "During"), "Not Found")</f>
        <v>Before</v>
      </c>
      <c r="R306" s="13">
        <f>Posts__2[[#This Row],[Engagement]]/Posts__2[[#This Row],[Ad Spend]]</f>
        <v>0.15628738038277512</v>
      </c>
    </row>
    <row r="307" spans="1:18" x14ac:dyDescent="0.3">
      <c r="A307" t="s">
        <v>354</v>
      </c>
      <c r="B307" t="s">
        <v>31</v>
      </c>
      <c r="C307" s="1">
        <v>45509</v>
      </c>
      <c r="D307" t="s">
        <v>46</v>
      </c>
      <c r="E307" t="s">
        <v>76</v>
      </c>
      <c r="F307">
        <v>1741</v>
      </c>
      <c r="G307">
        <v>831</v>
      </c>
      <c r="H307">
        <v>345</v>
      </c>
      <c r="I307">
        <v>17410</v>
      </c>
      <c r="J307">
        <v>16844</v>
      </c>
      <c r="K307">
        <v>58</v>
      </c>
      <c r="L307" t="s">
        <v>60</v>
      </c>
      <c r="M307" t="s">
        <v>15</v>
      </c>
      <c r="N307" s="2">
        <f>(Posts__2[[#This Row],[Likes]]+Posts__2[[#This Row],[Shares]]+Posts__2[[#This Row],[Comments]])/Posts__2[[#This Row],[Impressions]]</f>
        <v>0.16754738655944859</v>
      </c>
      <c r="O307" s="7">
        <f>Posts__2[[#This Row],[Likes]]+Posts__2[[#This Row],[Shares]]+Posts__2[[#This Row],[Comments]]</f>
        <v>2917</v>
      </c>
      <c r="P307" s="7">
        <f>_xlfn.XLOOKUP(Posts__2[[#This Row],[Platform]],'Engagement Summary'!B:B,'Engagement Summary'!G:G,"NA",0)</f>
        <v>9566</v>
      </c>
      <c r="Q307" t="str">
        <f>IFERROR(IF(C307 &lt; _xlfn.XLOOKUP(M307, 'Campaign Metadata'!A:A, 'Campaign Metadata'!B:B), "Before", "During"), "Not Found")</f>
        <v>Before</v>
      </c>
      <c r="R307" s="13">
        <f>Posts__2[[#This Row],[Engagement]]/Posts__2[[#This Row],[Ad Spend]]</f>
        <v>0.30493414175203848</v>
      </c>
    </row>
    <row r="308" spans="1:18" x14ac:dyDescent="0.3">
      <c r="A308" t="s">
        <v>355</v>
      </c>
      <c r="B308" t="s">
        <v>32</v>
      </c>
      <c r="C308" s="1">
        <v>45450</v>
      </c>
      <c r="D308" t="s">
        <v>63</v>
      </c>
      <c r="E308" t="s">
        <v>66</v>
      </c>
      <c r="F308">
        <v>1556</v>
      </c>
      <c r="G308">
        <v>195</v>
      </c>
      <c r="H308">
        <v>131</v>
      </c>
      <c r="I308">
        <v>9336</v>
      </c>
      <c r="J308">
        <v>8875</v>
      </c>
      <c r="K308">
        <v>137</v>
      </c>
      <c r="L308" t="s">
        <v>53</v>
      </c>
      <c r="M308" t="s">
        <v>11</v>
      </c>
      <c r="N308" s="2">
        <f>(Posts__2[[#This Row],[Likes]]+Posts__2[[#This Row],[Shares]]+Posts__2[[#This Row],[Comments]])/Posts__2[[#This Row],[Impressions]]</f>
        <v>0.2015852613538989</v>
      </c>
      <c r="O308" s="7">
        <f>Posts__2[[#This Row],[Likes]]+Posts__2[[#This Row],[Shares]]+Posts__2[[#This Row],[Comments]]</f>
        <v>1882</v>
      </c>
      <c r="P308" s="7">
        <f>_xlfn.XLOOKUP(Posts__2[[#This Row],[Platform]],'Engagement Summary'!B:B,'Engagement Summary'!G:G,"NA",0)</f>
        <v>26752</v>
      </c>
      <c r="Q308" t="str">
        <f>IFERROR(IF(C308 &lt; _xlfn.XLOOKUP(M308, 'Campaign Metadata'!A:A, 'Campaign Metadata'!B:B), "Before", "During"), "Not Found")</f>
        <v>Before</v>
      </c>
      <c r="R308" s="13">
        <f>Posts__2[[#This Row],[Engagement]]/Posts__2[[#This Row],[Ad Spend]]</f>
        <v>7.0349880382775121E-2</v>
      </c>
    </row>
    <row r="309" spans="1:18" x14ac:dyDescent="0.3">
      <c r="A309" t="s">
        <v>356</v>
      </c>
      <c r="B309" t="s">
        <v>31</v>
      </c>
      <c r="C309" s="1">
        <v>45753</v>
      </c>
      <c r="D309" t="s">
        <v>68</v>
      </c>
      <c r="E309" t="s">
        <v>73</v>
      </c>
      <c r="F309">
        <v>4236</v>
      </c>
      <c r="G309">
        <v>711</v>
      </c>
      <c r="H309">
        <v>298</v>
      </c>
      <c r="I309">
        <v>21180</v>
      </c>
      <c r="J309">
        <v>20516</v>
      </c>
      <c r="K309">
        <v>238</v>
      </c>
      <c r="L309" t="s">
        <v>48</v>
      </c>
      <c r="M309" t="s">
        <v>7</v>
      </c>
      <c r="N309" s="2">
        <f>(Posts__2[[#This Row],[Likes]]+Posts__2[[#This Row],[Shares]]+Posts__2[[#This Row],[Comments]])/Posts__2[[#This Row],[Impressions]]</f>
        <v>0.24763928234183191</v>
      </c>
      <c r="O309" s="7">
        <f>Posts__2[[#This Row],[Likes]]+Posts__2[[#This Row],[Shares]]+Posts__2[[#This Row],[Comments]]</f>
        <v>5245</v>
      </c>
      <c r="P309" s="7">
        <f>_xlfn.XLOOKUP(Posts__2[[#This Row],[Platform]],'Engagement Summary'!B:B,'Engagement Summary'!G:G,"NA",0)</f>
        <v>9566</v>
      </c>
      <c r="Q309" t="str">
        <f>IFERROR(IF(C309 &lt; _xlfn.XLOOKUP(M309, 'Campaign Metadata'!A:A, 'Campaign Metadata'!B:B), "Before", "During"), "Not Found")</f>
        <v>During</v>
      </c>
      <c r="R309" s="13">
        <f>Posts__2[[#This Row],[Engagement]]/Posts__2[[#This Row],[Ad Spend]]</f>
        <v>0.54829604850512226</v>
      </c>
    </row>
    <row r="310" spans="1:18" x14ac:dyDescent="0.3">
      <c r="A310" t="s">
        <v>357</v>
      </c>
      <c r="B310" t="s">
        <v>32</v>
      </c>
      <c r="C310" s="1">
        <v>45622</v>
      </c>
      <c r="D310" t="s">
        <v>51</v>
      </c>
      <c r="E310" t="s">
        <v>52</v>
      </c>
      <c r="F310">
        <v>4516</v>
      </c>
      <c r="G310">
        <v>836</v>
      </c>
      <c r="H310">
        <v>169</v>
      </c>
      <c r="I310">
        <v>49676</v>
      </c>
      <c r="J310">
        <v>49257</v>
      </c>
      <c r="K310">
        <v>282</v>
      </c>
      <c r="L310" t="s">
        <v>60</v>
      </c>
      <c r="M310" t="s">
        <v>19</v>
      </c>
      <c r="N310" s="2">
        <f>(Posts__2[[#This Row],[Likes]]+Posts__2[[#This Row],[Shares]]+Posts__2[[#This Row],[Comments]])/Posts__2[[#This Row],[Impressions]]</f>
        <v>0.11114018842096787</v>
      </c>
      <c r="O310" s="7">
        <f>Posts__2[[#This Row],[Likes]]+Posts__2[[#This Row],[Shares]]+Posts__2[[#This Row],[Comments]]</f>
        <v>5521</v>
      </c>
      <c r="P310" s="7">
        <f>_xlfn.XLOOKUP(Posts__2[[#This Row],[Platform]],'Engagement Summary'!B:B,'Engagement Summary'!G:G,"NA",0)</f>
        <v>26752</v>
      </c>
      <c r="Q310" t="str">
        <f>IFERROR(IF(C310 &lt; _xlfn.XLOOKUP(M310, 'Campaign Metadata'!A:A, 'Campaign Metadata'!B:B), "Before", "During"), "Not Found")</f>
        <v>Before</v>
      </c>
      <c r="R310" s="13">
        <f>Posts__2[[#This Row],[Engagement]]/Posts__2[[#This Row],[Ad Spend]]</f>
        <v>0.20637709330143542</v>
      </c>
    </row>
    <row r="311" spans="1:18" x14ac:dyDescent="0.3">
      <c r="A311" t="s">
        <v>358</v>
      </c>
      <c r="B311" t="s">
        <v>33</v>
      </c>
      <c r="C311" s="1">
        <v>45537</v>
      </c>
      <c r="D311" t="s">
        <v>68</v>
      </c>
      <c r="E311" t="s">
        <v>69</v>
      </c>
      <c r="F311">
        <v>4905</v>
      </c>
      <c r="G311">
        <v>845</v>
      </c>
      <c r="H311">
        <v>129</v>
      </c>
      <c r="I311">
        <v>98100</v>
      </c>
      <c r="J311">
        <v>97772</v>
      </c>
      <c r="K311">
        <v>279</v>
      </c>
      <c r="L311" t="s">
        <v>53</v>
      </c>
      <c r="M311" t="s">
        <v>11</v>
      </c>
      <c r="N311" s="2">
        <f>(Posts__2[[#This Row],[Likes]]+Posts__2[[#This Row],[Shares]]+Posts__2[[#This Row],[Comments]])/Posts__2[[#This Row],[Impressions]]</f>
        <v>5.9928644240570844E-2</v>
      </c>
      <c r="O311" s="7">
        <f>Posts__2[[#This Row],[Likes]]+Posts__2[[#This Row],[Shares]]+Posts__2[[#This Row],[Comments]]</f>
        <v>5879</v>
      </c>
      <c r="P311" s="7">
        <f>_xlfn.XLOOKUP(Posts__2[[#This Row],[Platform]],'Engagement Summary'!B:B,'Engagement Summary'!G:G,"NA",0)</f>
        <v>30671</v>
      </c>
      <c r="Q311" t="str">
        <f>IFERROR(IF(C311 &lt; _xlfn.XLOOKUP(M311, 'Campaign Metadata'!A:A, 'Campaign Metadata'!B:B), "Before", "During"), "Not Found")</f>
        <v>Before</v>
      </c>
      <c r="R311" s="13">
        <f>Posts__2[[#This Row],[Engagement]]/Posts__2[[#This Row],[Ad Spend]]</f>
        <v>0.19167943660134981</v>
      </c>
    </row>
    <row r="312" spans="1:18" x14ac:dyDescent="0.3">
      <c r="A312" t="s">
        <v>359</v>
      </c>
      <c r="B312" t="s">
        <v>33</v>
      </c>
      <c r="C312" s="1">
        <v>45586</v>
      </c>
      <c r="D312" t="s">
        <v>82</v>
      </c>
      <c r="E312" t="s">
        <v>162</v>
      </c>
      <c r="F312">
        <v>4275</v>
      </c>
      <c r="G312">
        <v>680</v>
      </c>
      <c r="H312">
        <v>385</v>
      </c>
      <c r="I312">
        <v>64125</v>
      </c>
      <c r="J312">
        <v>63650</v>
      </c>
      <c r="K312">
        <v>104</v>
      </c>
      <c r="L312" t="s">
        <v>60</v>
      </c>
      <c r="M312" t="s">
        <v>19</v>
      </c>
      <c r="N312" s="2">
        <f>(Posts__2[[#This Row],[Likes]]+Posts__2[[#This Row],[Shares]]+Posts__2[[#This Row],[Comments]])/Posts__2[[#This Row],[Impressions]]</f>
        <v>8.3274853801169585E-2</v>
      </c>
      <c r="O312" s="7">
        <f>Posts__2[[#This Row],[Likes]]+Posts__2[[#This Row],[Shares]]+Posts__2[[#This Row],[Comments]]</f>
        <v>5340</v>
      </c>
      <c r="P312" s="7">
        <f>_xlfn.XLOOKUP(Posts__2[[#This Row],[Platform]],'Engagement Summary'!B:B,'Engagement Summary'!G:G,"NA",0)</f>
        <v>30671</v>
      </c>
      <c r="Q312" t="str">
        <f>IFERROR(IF(C312 &lt; _xlfn.XLOOKUP(M312, 'Campaign Metadata'!A:A, 'Campaign Metadata'!B:B), "Before", "During"), "Not Found")</f>
        <v>Before</v>
      </c>
      <c r="R312" s="13">
        <f>Posts__2[[#This Row],[Engagement]]/Posts__2[[#This Row],[Ad Spend]]</f>
        <v>0.17410583287144207</v>
      </c>
    </row>
    <row r="313" spans="1:18" x14ac:dyDescent="0.3">
      <c r="A313" t="s">
        <v>359</v>
      </c>
      <c r="B313" t="s">
        <v>33</v>
      </c>
      <c r="C313" s="1">
        <v>45586</v>
      </c>
      <c r="D313" t="s">
        <v>82</v>
      </c>
      <c r="E313" t="s">
        <v>162</v>
      </c>
      <c r="F313">
        <v>4275</v>
      </c>
      <c r="G313">
        <v>680</v>
      </c>
      <c r="H313">
        <v>385</v>
      </c>
      <c r="I313">
        <v>64125</v>
      </c>
      <c r="J313">
        <v>63650</v>
      </c>
      <c r="K313">
        <v>104</v>
      </c>
      <c r="L313" t="s">
        <v>53</v>
      </c>
      <c r="M313" t="s">
        <v>19</v>
      </c>
      <c r="N313" s="2">
        <f>(Posts__2[[#This Row],[Likes]]+Posts__2[[#This Row],[Shares]]+Posts__2[[#This Row],[Comments]])/Posts__2[[#This Row],[Impressions]]</f>
        <v>8.3274853801169585E-2</v>
      </c>
      <c r="O313" s="7">
        <f>Posts__2[[#This Row],[Likes]]+Posts__2[[#This Row],[Shares]]+Posts__2[[#This Row],[Comments]]</f>
        <v>5340</v>
      </c>
      <c r="P313" s="7">
        <f>_xlfn.XLOOKUP(Posts__2[[#This Row],[Platform]],'Engagement Summary'!B:B,'Engagement Summary'!G:G,"NA",0)</f>
        <v>30671</v>
      </c>
      <c r="Q313" t="str">
        <f>IFERROR(IF(C313 &lt; _xlfn.XLOOKUP(M313, 'Campaign Metadata'!A:A, 'Campaign Metadata'!B:B), "Before", "During"), "Not Found")</f>
        <v>Before</v>
      </c>
      <c r="R313" s="13">
        <f>Posts__2[[#This Row],[Engagement]]/Posts__2[[#This Row],[Ad Spend]]</f>
        <v>0.17410583287144207</v>
      </c>
    </row>
    <row r="314" spans="1:18" x14ac:dyDescent="0.3">
      <c r="A314" t="s">
        <v>359</v>
      </c>
      <c r="B314" t="s">
        <v>33</v>
      </c>
      <c r="C314" s="1">
        <v>45586</v>
      </c>
      <c r="D314" t="s">
        <v>82</v>
      </c>
      <c r="E314" t="s">
        <v>162</v>
      </c>
      <c r="F314">
        <v>4275</v>
      </c>
      <c r="G314">
        <v>680</v>
      </c>
      <c r="H314">
        <v>385</v>
      </c>
      <c r="I314">
        <v>64125</v>
      </c>
      <c r="J314">
        <v>63650</v>
      </c>
      <c r="K314">
        <v>104</v>
      </c>
      <c r="L314" t="s">
        <v>49</v>
      </c>
      <c r="M314" t="s">
        <v>19</v>
      </c>
      <c r="N314" s="2">
        <f>(Posts__2[[#This Row],[Likes]]+Posts__2[[#This Row],[Shares]]+Posts__2[[#This Row],[Comments]])/Posts__2[[#This Row],[Impressions]]</f>
        <v>8.3274853801169585E-2</v>
      </c>
      <c r="O314" s="7">
        <f>Posts__2[[#This Row],[Likes]]+Posts__2[[#This Row],[Shares]]+Posts__2[[#This Row],[Comments]]</f>
        <v>5340</v>
      </c>
      <c r="P314" s="7">
        <f>_xlfn.XLOOKUP(Posts__2[[#This Row],[Platform]],'Engagement Summary'!B:B,'Engagement Summary'!G:G,"NA",0)</f>
        <v>30671</v>
      </c>
      <c r="Q314" t="str">
        <f>IFERROR(IF(C314 &lt; _xlfn.XLOOKUP(M314, 'Campaign Metadata'!A:A, 'Campaign Metadata'!B:B), "Before", "During"), "Not Found")</f>
        <v>Before</v>
      </c>
      <c r="R314" s="13">
        <f>Posts__2[[#This Row],[Engagement]]/Posts__2[[#This Row],[Ad Spend]]</f>
        <v>0.17410583287144207</v>
      </c>
    </row>
    <row r="315" spans="1:18" x14ac:dyDescent="0.3">
      <c r="A315" t="s">
        <v>360</v>
      </c>
      <c r="B315" t="s">
        <v>33</v>
      </c>
      <c r="C315" s="1">
        <v>45738</v>
      </c>
      <c r="D315" t="s">
        <v>68</v>
      </c>
      <c r="E315" t="s">
        <v>69</v>
      </c>
      <c r="F315">
        <v>3166</v>
      </c>
      <c r="G315">
        <v>90</v>
      </c>
      <c r="H315">
        <v>341</v>
      </c>
      <c r="I315">
        <v>56988</v>
      </c>
      <c r="J315">
        <v>56125</v>
      </c>
      <c r="K315">
        <v>135</v>
      </c>
      <c r="L315" t="s">
        <v>60</v>
      </c>
      <c r="M315" t="s">
        <v>11</v>
      </c>
      <c r="N315" s="2">
        <f>(Posts__2[[#This Row],[Likes]]+Posts__2[[#This Row],[Shares]]+Posts__2[[#This Row],[Comments]])/Posts__2[[#This Row],[Impressions]]</f>
        <v>6.3118551273952411E-2</v>
      </c>
      <c r="O315" s="7">
        <f>Posts__2[[#This Row],[Likes]]+Posts__2[[#This Row],[Shares]]+Posts__2[[#This Row],[Comments]]</f>
        <v>3597</v>
      </c>
      <c r="P315" s="7">
        <f>_xlfn.XLOOKUP(Posts__2[[#This Row],[Platform]],'Engagement Summary'!B:B,'Engagement Summary'!G:G,"NA",0)</f>
        <v>30671</v>
      </c>
      <c r="Q315" t="str">
        <f>IFERROR(IF(C315 &lt; _xlfn.XLOOKUP(M315, 'Campaign Metadata'!A:A, 'Campaign Metadata'!B:B), "Before", "During"), "Not Found")</f>
        <v>During</v>
      </c>
      <c r="R315" s="13">
        <f>Posts__2[[#This Row],[Engagement]]/Posts__2[[#This Row],[Ad Spend]]</f>
        <v>0.11727690652407811</v>
      </c>
    </row>
    <row r="316" spans="1:18" x14ac:dyDescent="0.3">
      <c r="A316" t="s">
        <v>361</v>
      </c>
      <c r="B316" t="s">
        <v>30</v>
      </c>
      <c r="C316" s="1">
        <v>45568</v>
      </c>
      <c r="D316" t="s">
        <v>82</v>
      </c>
      <c r="E316" t="s">
        <v>89</v>
      </c>
      <c r="F316">
        <v>1488</v>
      </c>
      <c r="G316">
        <v>417</v>
      </c>
      <c r="H316">
        <v>168</v>
      </c>
      <c r="I316">
        <v>19344</v>
      </c>
      <c r="J316">
        <v>18395</v>
      </c>
      <c r="K316">
        <v>30</v>
      </c>
      <c r="L316" t="s">
        <v>48</v>
      </c>
      <c r="M316" t="s">
        <v>15</v>
      </c>
      <c r="N316" s="2">
        <f>(Posts__2[[#This Row],[Likes]]+Posts__2[[#This Row],[Shares]]+Posts__2[[#This Row],[Comments]])/Posts__2[[#This Row],[Impressions]]</f>
        <v>0.1071650124069479</v>
      </c>
      <c r="O316" s="7">
        <f>Posts__2[[#This Row],[Likes]]+Posts__2[[#This Row],[Shares]]+Posts__2[[#This Row],[Comments]]</f>
        <v>2073</v>
      </c>
      <c r="P316" s="7">
        <f>_xlfn.XLOOKUP(Posts__2[[#This Row],[Platform]],'Engagement Summary'!B:B,'Engagement Summary'!G:G,"NA",0)</f>
        <v>5904</v>
      </c>
      <c r="Q316" t="str">
        <f>IFERROR(IF(C316 &lt; _xlfn.XLOOKUP(M316, 'Campaign Metadata'!A:A, 'Campaign Metadata'!B:B), "Before", "During"), "Not Found")</f>
        <v>Before</v>
      </c>
      <c r="R316" s="13">
        <f>Posts__2[[#This Row],[Engagement]]/Posts__2[[#This Row],[Ad Spend]]</f>
        <v>0.3511178861788618</v>
      </c>
    </row>
    <row r="317" spans="1:18" x14ac:dyDescent="0.3">
      <c r="A317" t="s">
        <v>362</v>
      </c>
      <c r="B317" t="s">
        <v>32</v>
      </c>
      <c r="C317" s="1">
        <v>45786</v>
      </c>
      <c r="D317" t="s">
        <v>46</v>
      </c>
      <c r="E317" t="s">
        <v>47</v>
      </c>
      <c r="F317">
        <v>3367</v>
      </c>
      <c r="G317">
        <v>302</v>
      </c>
      <c r="H317">
        <v>57</v>
      </c>
      <c r="I317">
        <v>63973</v>
      </c>
      <c r="J317">
        <v>63789</v>
      </c>
      <c r="K317">
        <v>157</v>
      </c>
      <c r="L317" t="s">
        <v>48</v>
      </c>
      <c r="M317" t="s">
        <v>11</v>
      </c>
      <c r="N317" s="2">
        <f>(Posts__2[[#This Row],[Likes]]+Posts__2[[#This Row],[Shares]]+Posts__2[[#This Row],[Comments]])/Posts__2[[#This Row],[Impressions]]</f>
        <v>5.8243321401216137E-2</v>
      </c>
      <c r="O317" s="7">
        <f>Posts__2[[#This Row],[Likes]]+Posts__2[[#This Row],[Shares]]+Posts__2[[#This Row],[Comments]]</f>
        <v>3726</v>
      </c>
      <c r="P317" s="7">
        <f>_xlfn.XLOOKUP(Posts__2[[#This Row],[Platform]],'Engagement Summary'!B:B,'Engagement Summary'!G:G,"NA",0)</f>
        <v>26752</v>
      </c>
      <c r="Q317" t="str">
        <f>IFERROR(IF(C317 &lt; _xlfn.XLOOKUP(M317, 'Campaign Metadata'!A:A, 'Campaign Metadata'!B:B), "Before", "During"), "Not Found")</f>
        <v>During</v>
      </c>
      <c r="R317" s="13">
        <f>Posts__2[[#This Row],[Engagement]]/Posts__2[[#This Row],[Ad Spend]]</f>
        <v>0.13927930622009568</v>
      </c>
    </row>
    <row r="318" spans="1:18" x14ac:dyDescent="0.3">
      <c r="A318" t="s">
        <v>363</v>
      </c>
      <c r="B318" t="s">
        <v>32</v>
      </c>
      <c r="C318" s="1">
        <v>45552</v>
      </c>
      <c r="D318" t="s">
        <v>51</v>
      </c>
      <c r="E318" t="s">
        <v>52</v>
      </c>
      <c r="F318">
        <v>571</v>
      </c>
      <c r="G318">
        <v>190</v>
      </c>
      <c r="H318">
        <v>352</v>
      </c>
      <c r="I318">
        <v>9707</v>
      </c>
      <c r="J318">
        <v>9418</v>
      </c>
      <c r="K318">
        <v>231</v>
      </c>
      <c r="L318" t="s">
        <v>53</v>
      </c>
      <c r="M318" t="s">
        <v>19</v>
      </c>
      <c r="N318" s="2">
        <f>(Posts__2[[#This Row],[Likes]]+Posts__2[[#This Row],[Shares]]+Posts__2[[#This Row],[Comments]])/Posts__2[[#This Row],[Impressions]]</f>
        <v>0.11465952405480581</v>
      </c>
      <c r="O318" s="7">
        <f>Posts__2[[#This Row],[Likes]]+Posts__2[[#This Row],[Shares]]+Posts__2[[#This Row],[Comments]]</f>
        <v>1113</v>
      </c>
      <c r="P318" s="7">
        <f>_xlfn.XLOOKUP(Posts__2[[#This Row],[Platform]],'Engagement Summary'!B:B,'Engagement Summary'!G:G,"NA",0)</f>
        <v>26752</v>
      </c>
      <c r="Q318" t="str">
        <f>IFERROR(IF(C318 &lt; _xlfn.XLOOKUP(M318, 'Campaign Metadata'!A:A, 'Campaign Metadata'!B:B), "Before", "During"), "Not Found")</f>
        <v>Before</v>
      </c>
      <c r="R318" s="13">
        <f>Posts__2[[#This Row],[Engagement]]/Posts__2[[#This Row],[Ad Spend]]</f>
        <v>4.1604366028708137E-2</v>
      </c>
    </row>
    <row r="319" spans="1:18" x14ac:dyDescent="0.3">
      <c r="A319" t="s">
        <v>364</v>
      </c>
      <c r="B319" t="s">
        <v>33</v>
      </c>
      <c r="C319" s="1">
        <v>45491</v>
      </c>
      <c r="D319" t="s">
        <v>51</v>
      </c>
      <c r="E319" t="s">
        <v>99</v>
      </c>
      <c r="F319">
        <v>4021</v>
      </c>
      <c r="G319">
        <v>794</v>
      </c>
      <c r="H319">
        <v>77</v>
      </c>
      <c r="I319">
        <v>36189</v>
      </c>
      <c r="J319">
        <v>35505</v>
      </c>
      <c r="K319">
        <v>174</v>
      </c>
      <c r="L319" t="s">
        <v>60</v>
      </c>
      <c r="M319" t="s">
        <v>380</v>
      </c>
      <c r="N319" s="2">
        <f>(Posts__2[[#This Row],[Likes]]+Posts__2[[#This Row],[Shares]]+Posts__2[[#This Row],[Comments]])/Posts__2[[#This Row],[Impressions]]</f>
        <v>0.13517919809886983</v>
      </c>
      <c r="O319" s="7">
        <f>Posts__2[[#This Row],[Likes]]+Posts__2[[#This Row],[Shares]]+Posts__2[[#This Row],[Comments]]</f>
        <v>4892</v>
      </c>
      <c r="P319" s="7">
        <f>_xlfn.XLOOKUP(Posts__2[[#This Row],[Platform]],'Engagement Summary'!B:B,'Engagement Summary'!G:G,"NA",0)</f>
        <v>30671</v>
      </c>
      <c r="Q319" t="str">
        <f>IFERROR(IF(C319 &lt; _xlfn.XLOOKUP(M319, 'Campaign Metadata'!A:A, 'Campaign Metadata'!B:B), "Before", "During"), "Not Found")</f>
        <v>Not Found</v>
      </c>
      <c r="R319" s="13">
        <f>Posts__2[[#This Row],[Engagement]]/Posts__2[[#This Row],[Ad Spend]]</f>
        <v>0.15949920119983046</v>
      </c>
    </row>
    <row r="320" spans="1:18" x14ac:dyDescent="0.3">
      <c r="A320" t="s">
        <v>365</v>
      </c>
      <c r="B320" t="s">
        <v>33</v>
      </c>
      <c r="C320" s="1">
        <v>45560</v>
      </c>
      <c r="D320" t="s">
        <v>82</v>
      </c>
      <c r="E320" t="s">
        <v>162</v>
      </c>
      <c r="F320">
        <v>3389</v>
      </c>
      <c r="G320">
        <v>344</v>
      </c>
      <c r="H320">
        <v>229</v>
      </c>
      <c r="I320">
        <v>20334</v>
      </c>
      <c r="J320">
        <v>19443</v>
      </c>
      <c r="K320">
        <v>228</v>
      </c>
      <c r="L320" t="s">
        <v>48</v>
      </c>
      <c r="M320" t="s">
        <v>15</v>
      </c>
      <c r="N320" s="2">
        <f>(Posts__2[[#This Row],[Likes]]+Posts__2[[#This Row],[Shares]]+Posts__2[[#This Row],[Comments]])/Posts__2[[#This Row],[Impressions]]</f>
        <v>0.19484607062063539</v>
      </c>
      <c r="O320" s="7">
        <f>Posts__2[[#This Row],[Likes]]+Posts__2[[#This Row],[Shares]]+Posts__2[[#This Row],[Comments]]</f>
        <v>3962</v>
      </c>
      <c r="P320" s="7">
        <f>_xlfn.XLOOKUP(Posts__2[[#This Row],[Platform]],'Engagement Summary'!B:B,'Engagement Summary'!G:G,"NA",0)</f>
        <v>30671</v>
      </c>
      <c r="Q320" t="str">
        <f>IFERROR(IF(C320 &lt; _xlfn.XLOOKUP(M320, 'Campaign Metadata'!A:A, 'Campaign Metadata'!B:B), "Before", "During"), "Not Found")</f>
        <v>Before</v>
      </c>
      <c r="R320" s="13">
        <f>Posts__2[[#This Row],[Engagement]]/Posts__2[[#This Row],[Ad Spend]]</f>
        <v>0.12917739884581528</v>
      </c>
    </row>
    <row r="321" spans="1:18" x14ac:dyDescent="0.3">
      <c r="A321" t="s">
        <v>366</v>
      </c>
      <c r="B321" t="s">
        <v>30</v>
      </c>
      <c r="C321" s="1">
        <v>45519</v>
      </c>
      <c r="D321" t="s">
        <v>46</v>
      </c>
      <c r="E321" t="s">
        <v>87</v>
      </c>
      <c r="F321">
        <v>1164</v>
      </c>
      <c r="G321">
        <v>616</v>
      </c>
      <c r="H321">
        <v>324</v>
      </c>
      <c r="I321">
        <v>6984</v>
      </c>
      <c r="J321">
        <v>6636</v>
      </c>
      <c r="K321">
        <v>82</v>
      </c>
      <c r="L321" t="s">
        <v>60</v>
      </c>
      <c r="M321" t="s">
        <v>7</v>
      </c>
      <c r="N321" s="2">
        <f>(Posts__2[[#This Row],[Likes]]+Posts__2[[#This Row],[Shares]]+Posts__2[[#This Row],[Comments]])/Posts__2[[#This Row],[Impressions]]</f>
        <v>0.30126002290950743</v>
      </c>
      <c r="O321" s="7">
        <f>Posts__2[[#This Row],[Likes]]+Posts__2[[#This Row],[Shares]]+Posts__2[[#This Row],[Comments]]</f>
        <v>2104</v>
      </c>
      <c r="P321" s="7">
        <f>_xlfn.XLOOKUP(Posts__2[[#This Row],[Platform]],'Engagement Summary'!B:B,'Engagement Summary'!G:G,"NA",0)</f>
        <v>5904</v>
      </c>
      <c r="Q321" t="str">
        <f>IFERROR(IF(C321 &lt; _xlfn.XLOOKUP(M321, 'Campaign Metadata'!A:A, 'Campaign Metadata'!B:B), "Before", "During"), "Not Found")</f>
        <v>During</v>
      </c>
      <c r="R321" s="13">
        <f>Posts__2[[#This Row],[Engagement]]/Posts__2[[#This Row],[Ad Spend]]</f>
        <v>0.35636856368563685</v>
      </c>
    </row>
    <row r="322" spans="1:18" x14ac:dyDescent="0.3">
      <c r="A322" t="s">
        <v>367</v>
      </c>
      <c r="B322" t="s">
        <v>33</v>
      </c>
      <c r="C322" s="1">
        <v>45764</v>
      </c>
      <c r="D322" t="s">
        <v>63</v>
      </c>
      <c r="E322" t="s">
        <v>78</v>
      </c>
      <c r="F322">
        <v>4780</v>
      </c>
      <c r="G322">
        <v>691</v>
      </c>
      <c r="H322">
        <v>380</v>
      </c>
      <c r="I322">
        <v>86040</v>
      </c>
      <c r="J322">
        <v>85743</v>
      </c>
      <c r="K322">
        <v>262</v>
      </c>
      <c r="L322" t="s">
        <v>48</v>
      </c>
      <c r="M322" t="s">
        <v>15</v>
      </c>
      <c r="N322" s="2">
        <f>(Posts__2[[#This Row],[Likes]]+Posts__2[[#This Row],[Shares]]+Posts__2[[#This Row],[Comments]])/Posts__2[[#This Row],[Impressions]]</f>
        <v>6.800325430032543E-2</v>
      </c>
      <c r="O322" s="7">
        <f>Posts__2[[#This Row],[Likes]]+Posts__2[[#This Row],[Shares]]+Posts__2[[#This Row],[Comments]]</f>
        <v>5851</v>
      </c>
      <c r="P322" s="7">
        <f>_xlfn.XLOOKUP(Posts__2[[#This Row],[Platform]],'Engagement Summary'!B:B,'Engagement Summary'!G:G,"NA",0)</f>
        <v>30671</v>
      </c>
      <c r="Q322" t="str">
        <f>IFERROR(IF(C322 &lt; _xlfn.XLOOKUP(M322, 'Campaign Metadata'!A:A, 'Campaign Metadata'!B:B), "Before", "During"), "Not Found")</f>
        <v>During</v>
      </c>
      <c r="R322" s="13">
        <f>Posts__2[[#This Row],[Engagement]]/Posts__2[[#This Row],[Ad Spend]]</f>
        <v>0.19076652212187409</v>
      </c>
    </row>
    <row r="323" spans="1:18" x14ac:dyDescent="0.3">
      <c r="A323" t="s">
        <v>368</v>
      </c>
      <c r="B323" t="s">
        <v>31</v>
      </c>
      <c r="C323" s="1">
        <v>45624</v>
      </c>
      <c r="D323" t="s">
        <v>63</v>
      </c>
      <c r="E323" t="s">
        <v>64</v>
      </c>
      <c r="F323">
        <v>2751</v>
      </c>
      <c r="G323">
        <v>33</v>
      </c>
      <c r="H323">
        <v>430</v>
      </c>
      <c r="I323">
        <v>44016</v>
      </c>
      <c r="J323">
        <v>43415</v>
      </c>
      <c r="K323">
        <v>129</v>
      </c>
      <c r="L323" t="s">
        <v>48</v>
      </c>
      <c r="M323" t="s">
        <v>380</v>
      </c>
      <c r="N323" s="2">
        <f>(Posts__2[[#This Row],[Likes]]+Posts__2[[#This Row],[Shares]]+Posts__2[[#This Row],[Comments]])/Posts__2[[#This Row],[Impressions]]</f>
        <v>7.3018902217375503E-2</v>
      </c>
      <c r="O323" s="7">
        <f>Posts__2[[#This Row],[Likes]]+Posts__2[[#This Row],[Shares]]+Posts__2[[#This Row],[Comments]]</f>
        <v>3214</v>
      </c>
      <c r="P323" s="7">
        <f>_xlfn.XLOOKUP(Posts__2[[#This Row],[Platform]],'Engagement Summary'!B:B,'Engagement Summary'!G:G,"NA",0)</f>
        <v>9566</v>
      </c>
      <c r="Q323" t="str">
        <f>IFERROR(IF(C323 &lt; _xlfn.XLOOKUP(M323, 'Campaign Metadata'!A:A, 'Campaign Metadata'!B:B), "Before", "During"), "Not Found")</f>
        <v>Not Found</v>
      </c>
      <c r="R323" s="13">
        <f>Posts__2[[#This Row],[Engagement]]/Posts__2[[#This Row],[Ad Spend]]</f>
        <v>0.33598160150533141</v>
      </c>
    </row>
    <row r="324" spans="1:18" x14ac:dyDescent="0.3">
      <c r="A324" t="s">
        <v>369</v>
      </c>
      <c r="B324" t="s">
        <v>30</v>
      </c>
      <c r="C324" s="1">
        <v>45646</v>
      </c>
      <c r="D324" t="s">
        <v>63</v>
      </c>
      <c r="E324" t="s">
        <v>91</v>
      </c>
      <c r="F324">
        <v>2107</v>
      </c>
      <c r="G324">
        <v>550</v>
      </c>
      <c r="H324">
        <v>349</v>
      </c>
      <c r="I324">
        <v>35819</v>
      </c>
      <c r="J324">
        <v>35340</v>
      </c>
      <c r="K324">
        <v>191</v>
      </c>
      <c r="L324" t="s">
        <v>60</v>
      </c>
      <c r="M324" t="s">
        <v>19</v>
      </c>
      <c r="N324" s="2">
        <f>(Posts__2[[#This Row],[Likes]]+Posts__2[[#This Row],[Shares]]+Posts__2[[#This Row],[Comments]])/Posts__2[[#This Row],[Impressions]]</f>
        <v>8.3921940869371006E-2</v>
      </c>
      <c r="O324" s="7">
        <f>Posts__2[[#This Row],[Likes]]+Posts__2[[#This Row],[Shares]]+Posts__2[[#This Row],[Comments]]</f>
        <v>3006</v>
      </c>
      <c r="P324" s="7">
        <f>_xlfn.XLOOKUP(Posts__2[[#This Row],[Platform]],'Engagement Summary'!B:B,'Engagement Summary'!G:G,"NA",0)</f>
        <v>5904</v>
      </c>
      <c r="Q324" t="str">
        <f>IFERROR(IF(C324 &lt; _xlfn.XLOOKUP(M324, 'Campaign Metadata'!A:A, 'Campaign Metadata'!B:B), "Before", "During"), "Not Found")</f>
        <v>Before</v>
      </c>
      <c r="R324" s="13">
        <f>Posts__2[[#This Row],[Engagement]]/Posts__2[[#This Row],[Ad Spend]]</f>
        <v>0.50914634146341464</v>
      </c>
    </row>
    <row r="325" spans="1:18" x14ac:dyDescent="0.3">
      <c r="A325" t="s">
        <v>370</v>
      </c>
      <c r="B325" t="s">
        <v>31</v>
      </c>
      <c r="C325" s="1">
        <v>45602</v>
      </c>
      <c r="D325" t="s">
        <v>82</v>
      </c>
      <c r="E325" t="s">
        <v>83</v>
      </c>
      <c r="F325">
        <v>4663</v>
      </c>
      <c r="G325">
        <v>145</v>
      </c>
      <c r="H325">
        <v>225</v>
      </c>
      <c r="I325">
        <v>69945</v>
      </c>
      <c r="J325">
        <v>69596</v>
      </c>
      <c r="K325">
        <v>35</v>
      </c>
      <c r="L325" t="s">
        <v>60</v>
      </c>
      <c r="M325" t="s">
        <v>19</v>
      </c>
      <c r="N325" s="2">
        <f>(Posts__2[[#This Row],[Likes]]+Posts__2[[#This Row],[Shares]]+Posts__2[[#This Row],[Comments]])/Posts__2[[#This Row],[Impressions]]</f>
        <v>7.1956537279290869E-2</v>
      </c>
      <c r="O325" s="7">
        <f>Posts__2[[#This Row],[Likes]]+Posts__2[[#This Row],[Shares]]+Posts__2[[#This Row],[Comments]]</f>
        <v>5033</v>
      </c>
      <c r="P325" s="7">
        <f>_xlfn.XLOOKUP(Posts__2[[#This Row],[Platform]],'Engagement Summary'!B:B,'Engagement Summary'!G:G,"NA",0)</f>
        <v>9566</v>
      </c>
      <c r="Q325" t="str">
        <f>IFERROR(IF(C325 &lt; _xlfn.XLOOKUP(M325, 'Campaign Metadata'!A:A, 'Campaign Metadata'!B:B), "Before", "During"), "Not Found")</f>
        <v>Before</v>
      </c>
      <c r="R325" s="13">
        <f>Posts__2[[#This Row],[Engagement]]/Posts__2[[#This Row],[Ad Spend]]</f>
        <v>0.52613422538155974</v>
      </c>
    </row>
    <row r="326" spans="1:18" x14ac:dyDescent="0.3">
      <c r="A326" t="s">
        <v>371</v>
      </c>
      <c r="B326" t="s">
        <v>31</v>
      </c>
      <c r="C326" s="1">
        <v>45613</v>
      </c>
      <c r="D326" t="s">
        <v>51</v>
      </c>
      <c r="E326" t="s">
        <v>71</v>
      </c>
      <c r="F326">
        <v>880</v>
      </c>
      <c r="G326">
        <v>297</v>
      </c>
      <c r="H326">
        <v>345</v>
      </c>
      <c r="I326">
        <v>12320</v>
      </c>
      <c r="J326">
        <v>11978</v>
      </c>
      <c r="K326">
        <v>238</v>
      </c>
      <c r="L326" t="s">
        <v>53</v>
      </c>
      <c r="M326" t="s">
        <v>380</v>
      </c>
      <c r="N326" s="2">
        <f>(Posts__2[[#This Row],[Likes]]+Posts__2[[#This Row],[Shares]]+Posts__2[[#This Row],[Comments]])/Posts__2[[#This Row],[Impressions]]</f>
        <v>0.12353896103896105</v>
      </c>
      <c r="O326" s="7">
        <f>Posts__2[[#This Row],[Likes]]+Posts__2[[#This Row],[Shares]]+Posts__2[[#This Row],[Comments]]</f>
        <v>1522</v>
      </c>
      <c r="P326" s="7">
        <f>_xlfn.XLOOKUP(Posts__2[[#This Row],[Platform]],'Engagement Summary'!B:B,'Engagement Summary'!G:G,"NA",0)</f>
        <v>9566</v>
      </c>
      <c r="Q326" t="str">
        <f>IFERROR(IF(C326 &lt; _xlfn.XLOOKUP(M326, 'Campaign Metadata'!A:A, 'Campaign Metadata'!B:B), "Before", "During"), "Not Found")</f>
        <v>Not Found</v>
      </c>
      <c r="R326" s="13">
        <f>Posts__2[[#This Row],[Engagement]]/Posts__2[[#This Row],[Ad Spend]]</f>
        <v>0.15910516412293541</v>
      </c>
    </row>
    <row r="327" spans="1:18" x14ac:dyDescent="0.3">
      <c r="A327" t="s">
        <v>371</v>
      </c>
      <c r="B327" t="s">
        <v>31</v>
      </c>
      <c r="C327" s="1">
        <v>45613</v>
      </c>
      <c r="D327" t="s">
        <v>51</v>
      </c>
      <c r="E327" t="s">
        <v>71</v>
      </c>
      <c r="F327">
        <v>880</v>
      </c>
      <c r="G327">
        <v>297</v>
      </c>
      <c r="H327">
        <v>345</v>
      </c>
      <c r="I327">
        <v>12320</v>
      </c>
      <c r="J327">
        <v>11978</v>
      </c>
      <c r="K327">
        <v>238</v>
      </c>
      <c r="L327" t="s">
        <v>49</v>
      </c>
      <c r="M327" t="s">
        <v>380</v>
      </c>
      <c r="N327" s="2">
        <f>(Posts__2[[#This Row],[Likes]]+Posts__2[[#This Row],[Shares]]+Posts__2[[#This Row],[Comments]])/Posts__2[[#This Row],[Impressions]]</f>
        <v>0.12353896103896105</v>
      </c>
      <c r="O327" s="7">
        <f>Posts__2[[#This Row],[Likes]]+Posts__2[[#This Row],[Shares]]+Posts__2[[#This Row],[Comments]]</f>
        <v>1522</v>
      </c>
      <c r="P327" s="7">
        <f>_xlfn.XLOOKUP(Posts__2[[#This Row],[Platform]],'Engagement Summary'!B:B,'Engagement Summary'!G:G,"NA",0)</f>
        <v>9566</v>
      </c>
      <c r="Q327" t="str">
        <f>IFERROR(IF(C327 &lt; _xlfn.XLOOKUP(M327, 'Campaign Metadata'!A:A, 'Campaign Metadata'!B:B), "Before", "During"), "Not Found")</f>
        <v>Not Found</v>
      </c>
      <c r="R327" s="13">
        <f>Posts__2[[#This Row],[Engagement]]/Posts__2[[#This Row],[Ad Spend]]</f>
        <v>0.15910516412293541</v>
      </c>
    </row>
    <row r="328" spans="1:18" x14ac:dyDescent="0.3">
      <c r="A328" t="s">
        <v>372</v>
      </c>
      <c r="B328" t="s">
        <v>31</v>
      </c>
      <c r="C328" s="1">
        <v>45791</v>
      </c>
      <c r="D328" t="s">
        <v>51</v>
      </c>
      <c r="E328" t="s">
        <v>71</v>
      </c>
      <c r="F328">
        <v>2634</v>
      </c>
      <c r="G328">
        <v>726</v>
      </c>
      <c r="H328">
        <v>241</v>
      </c>
      <c r="I328">
        <v>28974</v>
      </c>
      <c r="J328">
        <v>28102</v>
      </c>
      <c r="K328">
        <v>277</v>
      </c>
      <c r="L328" t="s">
        <v>60</v>
      </c>
      <c r="M328" t="s">
        <v>7</v>
      </c>
      <c r="N328" s="2">
        <f>(Posts__2[[#This Row],[Likes]]+Posts__2[[#This Row],[Shares]]+Posts__2[[#This Row],[Comments]])/Posts__2[[#This Row],[Impressions]]</f>
        <v>0.12428384068475185</v>
      </c>
      <c r="O328" s="7">
        <f>Posts__2[[#This Row],[Likes]]+Posts__2[[#This Row],[Shares]]+Posts__2[[#This Row],[Comments]]</f>
        <v>3601</v>
      </c>
      <c r="P328" s="7">
        <f>_xlfn.XLOOKUP(Posts__2[[#This Row],[Platform]],'Engagement Summary'!B:B,'Engagement Summary'!G:G,"NA",0)</f>
        <v>9566</v>
      </c>
      <c r="Q328" t="str">
        <f>IFERROR(IF(C328 &lt; _xlfn.XLOOKUP(M328, 'Campaign Metadata'!A:A, 'Campaign Metadata'!B:B), "Before", "During"), "Not Found")</f>
        <v>During</v>
      </c>
      <c r="R328" s="13">
        <f>Posts__2[[#This Row],[Engagement]]/Posts__2[[#This Row],[Ad Spend]]</f>
        <v>0.37643738239598579</v>
      </c>
    </row>
    <row r="329" spans="1:18" x14ac:dyDescent="0.3">
      <c r="A329" t="s">
        <v>373</v>
      </c>
      <c r="B329" t="s">
        <v>31</v>
      </c>
      <c r="C329" s="1">
        <v>45462</v>
      </c>
      <c r="D329" t="s">
        <v>63</v>
      </c>
      <c r="E329" t="s">
        <v>64</v>
      </c>
      <c r="F329">
        <v>4731</v>
      </c>
      <c r="G329">
        <v>173</v>
      </c>
      <c r="H329">
        <v>276</v>
      </c>
      <c r="I329">
        <v>28386</v>
      </c>
      <c r="J329">
        <v>28185</v>
      </c>
      <c r="K329">
        <v>89</v>
      </c>
      <c r="L329" t="s">
        <v>60</v>
      </c>
      <c r="M329" t="s">
        <v>15</v>
      </c>
      <c r="N329" s="2">
        <f>(Posts__2[[#This Row],[Likes]]+Posts__2[[#This Row],[Shares]]+Posts__2[[#This Row],[Comments]])/Posts__2[[#This Row],[Impressions]]</f>
        <v>0.18248432325794406</v>
      </c>
      <c r="O329" s="7">
        <f>Posts__2[[#This Row],[Likes]]+Posts__2[[#This Row],[Shares]]+Posts__2[[#This Row],[Comments]]</f>
        <v>5180</v>
      </c>
      <c r="P329" s="7">
        <f>_xlfn.XLOOKUP(Posts__2[[#This Row],[Platform]],'Engagement Summary'!B:B,'Engagement Summary'!G:G,"NA",0)</f>
        <v>9566</v>
      </c>
      <c r="Q329" t="str">
        <f>IFERROR(IF(C329 &lt; _xlfn.XLOOKUP(M329, 'Campaign Metadata'!A:A, 'Campaign Metadata'!B:B), "Before", "During"), "Not Found")</f>
        <v>Before</v>
      </c>
      <c r="R329" s="13">
        <f>Posts__2[[#This Row],[Engagement]]/Posts__2[[#This Row],[Ad Spend]]</f>
        <v>0.5415011499059168</v>
      </c>
    </row>
    <row r="330" spans="1:18" x14ac:dyDescent="0.3">
      <c r="A330" t="s">
        <v>374</v>
      </c>
      <c r="B330" t="s">
        <v>32</v>
      </c>
      <c r="C330" s="1">
        <v>45783</v>
      </c>
      <c r="D330" t="s">
        <v>68</v>
      </c>
      <c r="E330" t="s">
        <v>114</v>
      </c>
      <c r="F330">
        <v>1952</v>
      </c>
      <c r="G330">
        <v>344</v>
      </c>
      <c r="H330">
        <v>287</v>
      </c>
      <c r="I330">
        <v>15616</v>
      </c>
      <c r="J330">
        <v>15403</v>
      </c>
      <c r="K330">
        <v>235</v>
      </c>
      <c r="L330" t="s">
        <v>48</v>
      </c>
      <c r="M330" t="s">
        <v>11</v>
      </c>
      <c r="N330" s="2">
        <f>(Posts__2[[#This Row],[Likes]]+Posts__2[[#This Row],[Shares]]+Posts__2[[#This Row],[Comments]])/Posts__2[[#This Row],[Impressions]]</f>
        <v>0.16540727459016394</v>
      </c>
      <c r="O330" s="7">
        <f>Posts__2[[#This Row],[Likes]]+Posts__2[[#This Row],[Shares]]+Posts__2[[#This Row],[Comments]]</f>
        <v>2583</v>
      </c>
      <c r="P330" s="7">
        <f>_xlfn.XLOOKUP(Posts__2[[#This Row],[Platform]],'Engagement Summary'!B:B,'Engagement Summary'!G:G,"NA",0)</f>
        <v>26752</v>
      </c>
      <c r="Q330" t="str">
        <f>IFERROR(IF(C330 &lt; _xlfn.XLOOKUP(M330, 'Campaign Metadata'!A:A, 'Campaign Metadata'!B:B), "Before", "During"), "Not Found")</f>
        <v>During</v>
      </c>
      <c r="R330" s="13">
        <f>Posts__2[[#This Row],[Engagement]]/Posts__2[[#This Row],[Ad Spend]]</f>
        <v>9.6553528708133968E-2</v>
      </c>
    </row>
    <row r="331" spans="1:18" x14ac:dyDescent="0.3">
      <c r="A331" t="s">
        <v>374</v>
      </c>
      <c r="B331" t="s">
        <v>32</v>
      </c>
      <c r="C331" s="1">
        <v>45783</v>
      </c>
      <c r="D331" t="s">
        <v>68</v>
      </c>
      <c r="E331" t="s">
        <v>114</v>
      </c>
      <c r="F331">
        <v>1952</v>
      </c>
      <c r="G331">
        <v>344</v>
      </c>
      <c r="H331">
        <v>287</v>
      </c>
      <c r="I331">
        <v>15616</v>
      </c>
      <c r="J331">
        <v>15403</v>
      </c>
      <c r="K331">
        <v>235</v>
      </c>
      <c r="L331" t="s">
        <v>53</v>
      </c>
      <c r="M331" t="s">
        <v>11</v>
      </c>
      <c r="N331" s="2">
        <f>(Posts__2[[#This Row],[Likes]]+Posts__2[[#This Row],[Shares]]+Posts__2[[#This Row],[Comments]])/Posts__2[[#This Row],[Impressions]]</f>
        <v>0.16540727459016394</v>
      </c>
      <c r="O331" s="7">
        <f>Posts__2[[#This Row],[Likes]]+Posts__2[[#This Row],[Shares]]+Posts__2[[#This Row],[Comments]]</f>
        <v>2583</v>
      </c>
      <c r="P331" s="7">
        <f>_xlfn.XLOOKUP(Posts__2[[#This Row],[Platform]],'Engagement Summary'!B:B,'Engagement Summary'!G:G,"NA",0)</f>
        <v>26752</v>
      </c>
      <c r="Q331" t="str">
        <f>IFERROR(IF(C331 &lt; _xlfn.XLOOKUP(M331, 'Campaign Metadata'!A:A, 'Campaign Metadata'!B:B), "Before", "During"), "Not Found")</f>
        <v>During</v>
      </c>
      <c r="R331" s="13">
        <f>Posts__2[[#This Row],[Engagement]]/Posts__2[[#This Row],[Ad Spend]]</f>
        <v>9.6553528708133968E-2</v>
      </c>
    </row>
    <row r="332" spans="1:18" x14ac:dyDescent="0.3">
      <c r="A332" t="s">
        <v>374</v>
      </c>
      <c r="B332" t="s">
        <v>32</v>
      </c>
      <c r="C332" s="1">
        <v>45783</v>
      </c>
      <c r="D332" t="s">
        <v>68</v>
      </c>
      <c r="E332" t="s">
        <v>114</v>
      </c>
      <c r="F332">
        <v>1952</v>
      </c>
      <c r="G332">
        <v>344</v>
      </c>
      <c r="H332">
        <v>287</v>
      </c>
      <c r="I332">
        <v>15616</v>
      </c>
      <c r="J332">
        <v>15403</v>
      </c>
      <c r="K332">
        <v>235</v>
      </c>
      <c r="L332" t="s">
        <v>49</v>
      </c>
      <c r="M332" t="s">
        <v>11</v>
      </c>
      <c r="N332" s="2">
        <f>(Posts__2[[#This Row],[Likes]]+Posts__2[[#This Row],[Shares]]+Posts__2[[#This Row],[Comments]])/Posts__2[[#This Row],[Impressions]]</f>
        <v>0.16540727459016394</v>
      </c>
      <c r="O332" s="7">
        <f>Posts__2[[#This Row],[Likes]]+Posts__2[[#This Row],[Shares]]+Posts__2[[#This Row],[Comments]]</f>
        <v>2583</v>
      </c>
      <c r="P332" s="7">
        <f>_xlfn.XLOOKUP(Posts__2[[#This Row],[Platform]],'Engagement Summary'!B:B,'Engagement Summary'!G:G,"NA",0)</f>
        <v>26752</v>
      </c>
      <c r="Q332" t="str">
        <f>IFERROR(IF(C332 &lt; _xlfn.XLOOKUP(M332, 'Campaign Metadata'!A:A, 'Campaign Metadata'!B:B), "Before", "During"), "Not Found")</f>
        <v>During</v>
      </c>
      <c r="R332" s="13">
        <f>Posts__2[[#This Row],[Engagement]]/Posts__2[[#This Row],[Ad Spend]]</f>
        <v>9.6553528708133968E-2</v>
      </c>
    </row>
    <row r="333" spans="1:18" x14ac:dyDescent="0.3">
      <c r="A333" t="s">
        <v>375</v>
      </c>
      <c r="B333" t="s">
        <v>32</v>
      </c>
      <c r="C333" s="1">
        <v>45699</v>
      </c>
      <c r="D333" t="s">
        <v>82</v>
      </c>
      <c r="E333" t="s">
        <v>121</v>
      </c>
      <c r="F333">
        <v>3440</v>
      </c>
      <c r="G333">
        <v>13</v>
      </c>
      <c r="H333">
        <v>20</v>
      </c>
      <c r="I333">
        <v>58480</v>
      </c>
      <c r="J333">
        <v>58146</v>
      </c>
      <c r="K333">
        <v>210</v>
      </c>
      <c r="L333" t="s">
        <v>53</v>
      </c>
      <c r="M333" t="s">
        <v>19</v>
      </c>
      <c r="N333" s="2">
        <f>(Posts__2[[#This Row],[Likes]]+Posts__2[[#This Row],[Shares]]+Posts__2[[#This Row],[Comments]])/Posts__2[[#This Row],[Impressions]]</f>
        <v>5.9387824897400819E-2</v>
      </c>
      <c r="O333" s="7">
        <f>Posts__2[[#This Row],[Likes]]+Posts__2[[#This Row],[Shares]]+Posts__2[[#This Row],[Comments]]</f>
        <v>3473</v>
      </c>
      <c r="P333" s="7">
        <f>_xlfn.XLOOKUP(Posts__2[[#This Row],[Platform]],'Engagement Summary'!B:B,'Engagement Summary'!G:G,"NA",0)</f>
        <v>26752</v>
      </c>
      <c r="Q333" t="str">
        <f>IFERROR(IF(C333 &lt; _xlfn.XLOOKUP(M333, 'Campaign Metadata'!A:A, 'Campaign Metadata'!B:B), "Before", "During"), "Not Found")</f>
        <v>Before</v>
      </c>
      <c r="R333" s="13">
        <f>Posts__2[[#This Row],[Engagement]]/Posts__2[[#This Row],[Ad Spend]]</f>
        <v>0.12982206937799043</v>
      </c>
    </row>
    <row r="334" spans="1:18" x14ac:dyDescent="0.3">
      <c r="A334" t="s">
        <v>375</v>
      </c>
      <c r="B334" t="s">
        <v>32</v>
      </c>
      <c r="C334" s="1">
        <v>45699</v>
      </c>
      <c r="D334" t="s">
        <v>82</v>
      </c>
      <c r="E334" t="s">
        <v>121</v>
      </c>
      <c r="F334">
        <v>3440</v>
      </c>
      <c r="G334">
        <v>13</v>
      </c>
      <c r="H334">
        <v>20</v>
      </c>
      <c r="I334">
        <v>58480</v>
      </c>
      <c r="J334">
        <v>58146</v>
      </c>
      <c r="K334">
        <v>210</v>
      </c>
      <c r="L334" t="s">
        <v>18</v>
      </c>
      <c r="M334" t="s">
        <v>19</v>
      </c>
      <c r="N334" s="2">
        <f>(Posts__2[[#This Row],[Likes]]+Posts__2[[#This Row],[Shares]]+Posts__2[[#This Row],[Comments]])/Posts__2[[#This Row],[Impressions]]</f>
        <v>5.9387824897400819E-2</v>
      </c>
      <c r="O334" s="7">
        <f>Posts__2[[#This Row],[Likes]]+Posts__2[[#This Row],[Shares]]+Posts__2[[#This Row],[Comments]]</f>
        <v>3473</v>
      </c>
      <c r="P334" s="7">
        <f>_xlfn.XLOOKUP(Posts__2[[#This Row],[Platform]],'Engagement Summary'!B:B,'Engagement Summary'!G:G,"NA",0)</f>
        <v>26752</v>
      </c>
      <c r="Q334" t="str">
        <f>IFERROR(IF(C334 &lt; _xlfn.XLOOKUP(M334, 'Campaign Metadata'!A:A, 'Campaign Metadata'!B:B), "Before", "During"), "Not Found")</f>
        <v>Before</v>
      </c>
      <c r="R334" s="13">
        <f>Posts__2[[#This Row],[Engagement]]/Posts__2[[#This Row],[Ad Spend]]</f>
        <v>0.12982206937799043</v>
      </c>
    </row>
    <row r="335" spans="1:18" x14ac:dyDescent="0.3">
      <c r="A335" t="s">
        <v>376</v>
      </c>
      <c r="B335" t="s">
        <v>32</v>
      </c>
      <c r="C335" s="1">
        <v>45650</v>
      </c>
      <c r="D335" t="s">
        <v>51</v>
      </c>
      <c r="E335" t="s">
        <v>52</v>
      </c>
      <c r="F335">
        <v>2166</v>
      </c>
      <c r="G335">
        <v>354</v>
      </c>
      <c r="H335">
        <v>117</v>
      </c>
      <c r="I335">
        <v>10830</v>
      </c>
      <c r="J335">
        <v>10245</v>
      </c>
      <c r="K335">
        <v>24</v>
      </c>
      <c r="L335" t="s">
        <v>60</v>
      </c>
      <c r="M335" t="s">
        <v>19</v>
      </c>
      <c r="N335" s="2">
        <f>(Posts__2[[#This Row],[Likes]]+Posts__2[[#This Row],[Shares]]+Posts__2[[#This Row],[Comments]])/Posts__2[[#This Row],[Impressions]]</f>
        <v>0.24349030470914126</v>
      </c>
      <c r="O335" s="7">
        <f>Posts__2[[#This Row],[Likes]]+Posts__2[[#This Row],[Shares]]+Posts__2[[#This Row],[Comments]]</f>
        <v>2637</v>
      </c>
      <c r="P335" s="7">
        <f>_xlfn.XLOOKUP(Posts__2[[#This Row],[Platform]],'Engagement Summary'!B:B,'Engagement Summary'!G:G,"NA",0)</f>
        <v>26752</v>
      </c>
      <c r="Q335" t="str">
        <f>IFERROR(IF(C335 &lt; _xlfn.XLOOKUP(M335, 'Campaign Metadata'!A:A, 'Campaign Metadata'!B:B), "Before", "During"), "Not Found")</f>
        <v>Before</v>
      </c>
      <c r="R335" s="13">
        <f>Posts__2[[#This Row],[Engagement]]/Posts__2[[#This Row],[Ad Spend]]</f>
        <v>9.8572069377990429E-2</v>
      </c>
    </row>
    <row r="336" spans="1:18" x14ac:dyDescent="0.3">
      <c r="A336" t="s">
        <v>377</v>
      </c>
      <c r="B336" t="s">
        <v>31</v>
      </c>
      <c r="C336" s="1">
        <v>45589</v>
      </c>
      <c r="D336" t="s">
        <v>68</v>
      </c>
      <c r="E336" t="s">
        <v>73</v>
      </c>
      <c r="F336">
        <v>4303</v>
      </c>
      <c r="G336">
        <v>451</v>
      </c>
      <c r="H336">
        <v>286</v>
      </c>
      <c r="I336">
        <v>86060</v>
      </c>
      <c r="J336">
        <v>85823</v>
      </c>
      <c r="K336">
        <v>14</v>
      </c>
      <c r="L336" t="s">
        <v>53</v>
      </c>
      <c r="M336" t="s">
        <v>15</v>
      </c>
      <c r="N336" s="2">
        <f>(Posts__2[[#This Row],[Likes]]+Posts__2[[#This Row],[Shares]]+Posts__2[[#This Row],[Comments]])/Posts__2[[#This Row],[Impressions]]</f>
        <v>5.8563792702765516E-2</v>
      </c>
      <c r="O336" s="7">
        <f>Posts__2[[#This Row],[Likes]]+Posts__2[[#This Row],[Shares]]+Posts__2[[#This Row],[Comments]]</f>
        <v>5040</v>
      </c>
      <c r="P336" s="7">
        <f>_xlfn.XLOOKUP(Posts__2[[#This Row],[Platform]],'Engagement Summary'!B:B,'Engagement Summary'!G:G,"NA",0)</f>
        <v>9566</v>
      </c>
      <c r="Q336" t="str">
        <f>IFERROR(IF(C336 &lt; _xlfn.XLOOKUP(M336, 'Campaign Metadata'!A:A, 'Campaign Metadata'!B:B), "Before", "During"), "Not Found")</f>
        <v>Before</v>
      </c>
      <c r="R336" s="13">
        <f>Posts__2[[#This Row],[Engagement]]/Posts__2[[#This Row],[Ad Spend]]</f>
        <v>0.52686598369224336</v>
      </c>
    </row>
    <row r="337" spans="1:18" x14ac:dyDescent="0.3">
      <c r="A337" t="s">
        <v>378</v>
      </c>
      <c r="B337" t="s">
        <v>31</v>
      </c>
      <c r="C337" s="1">
        <v>45530</v>
      </c>
      <c r="D337" t="s">
        <v>68</v>
      </c>
      <c r="E337" t="s">
        <v>73</v>
      </c>
      <c r="F337">
        <v>2581</v>
      </c>
      <c r="G337">
        <v>517</v>
      </c>
      <c r="H337">
        <v>117</v>
      </c>
      <c r="I337">
        <v>23229</v>
      </c>
      <c r="J337">
        <v>22331</v>
      </c>
      <c r="K337">
        <v>70</v>
      </c>
      <c r="L337" t="s">
        <v>48</v>
      </c>
      <c r="M337" t="s">
        <v>15</v>
      </c>
      <c r="N337" s="2">
        <f>(Posts__2[[#This Row],[Likes]]+Posts__2[[#This Row],[Shares]]+Posts__2[[#This Row],[Comments]])/Posts__2[[#This Row],[Impressions]]</f>
        <v>0.13840458048129492</v>
      </c>
      <c r="O337" s="7">
        <f>Posts__2[[#This Row],[Likes]]+Posts__2[[#This Row],[Shares]]+Posts__2[[#This Row],[Comments]]</f>
        <v>3215</v>
      </c>
      <c r="P337" s="7">
        <f>_xlfn.XLOOKUP(Posts__2[[#This Row],[Platform]],'Engagement Summary'!B:B,'Engagement Summary'!G:G,"NA",0)</f>
        <v>9566</v>
      </c>
      <c r="Q337" t="str">
        <f>IFERROR(IF(C337 &lt; _xlfn.XLOOKUP(M337, 'Campaign Metadata'!A:A, 'Campaign Metadata'!B:B), "Before", "During"), "Not Found")</f>
        <v>Before</v>
      </c>
      <c r="R337" s="13">
        <f>Posts__2[[#This Row],[Engagement]]/Posts__2[[#This Row],[Ad Spend]]</f>
        <v>0.33608613840685764</v>
      </c>
    </row>
    <row r="338" spans="1:18" x14ac:dyDescent="0.3">
      <c r="A338" t="s">
        <v>379</v>
      </c>
      <c r="B338" t="s">
        <v>32</v>
      </c>
      <c r="C338" s="1">
        <v>45535</v>
      </c>
      <c r="D338" t="s">
        <v>63</v>
      </c>
      <c r="E338" t="s">
        <v>66</v>
      </c>
      <c r="F338">
        <v>4494</v>
      </c>
      <c r="G338">
        <v>717</v>
      </c>
      <c r="H338">
        <v>45</v>
      </c>
      <c r="I338">
        <v>62916</v>
      </c>
      <c r="J338">
        <v>62688</v>
      </c>
      <c r="K338">
        <v>191</v>
      </c>
      <c r="L338" t="s">
        <v>53</v>
      </c>
      <c r="M338" t="s">
        <v>7</v>
      </c>
      <c r="N338" s="2">
        <f>(Posts__2[[#This Row],[Likes]]+Posts__2[[#This Row],[Shares]]+Posts__2[[#This Row],[Comments]])/Posts__2[[#This Row],[Impressions]]</f>
        <v>8.3539958039290485E-2</v>
      </c>
      <c r="O338" s="7">
        <f>Posts__2[[#This Row],[Likes]]+Posts__2[[#This Row],[Shares]]+Posts__2[[#This Row],[Comments]]</f>
        <v>5256</v>
      </c>
      <c r="P338" s="7">
        <f>_xlfn.XLOOKUP(Posts__2[[#This Row],[Platform]],'Engagement Summary'!B:B,'Engagement Summary'!G:G,"NA",0)</f>
        <v>26752</v>
      </c>
      <c r="Q338" t="str">
        <f>IFERROR(IF(C338 &lt; _xlfn.XLOOKUP(M338, 'Campaign Metadata'!A:A, 'Campaign Metadata'!B:B), "Before", "During"), "Not Found")</f>
        <v>During</v>
      </c>
      <c r="R338" s="13">
        <f>Posts__2[[#This Row],[Engagement]]/Posts__2[[#This Row],[Ad Spend]]</f>
        <v>0.19647129186602871</v>
      </c>
    </row>
    <row r="339" spans="1:18" x14ac:dyDescent="0.3">
      <c r="A339" t="s">
        <v>379</v>
      </c>
      <c r="B339" t="s">
        <v>32</v>
      </c>
      <c r="C339" s="1">
        <v>45535</v>
      </c>
      <c r="D339" t="s">
        <v>63</v>
      </c>
      <c r="E339" t="s">
        <v>66</v>
      </c>
      <c r="F339">
        <v>4494</v>
      </c>
      <c r="G339">
        <v>717</v>
      </c>
      <c r="H339">
        <v>45</v>
      </c>
      <c r="I339">
        <v>62916</v>
      </c>
      <c r="J339">
        <v>62688</v>
      </c>
      <c r="K339">
        <v>191</v>
      </c>
      <c r="L339" t="s">
        <v>60</v>
      </c>
      <c r="M339" t="s">
        <v>7</v>
      </c>
      <c r="N339" s="2">
        <f>(Posts__2[[#This Row],[Likes]]+Posts__2[[#This Row],[Shares]]+Posts__2[[#This Row],[Comments]])/Posts__2[[#This Row],[Impressions]]</f>
        <v>8.3539958039290485E-2</v>
      </c>
      <c r="O339" s="7">
        <f>Posts__2[[#This Row],[Likes]]+Posts__2[[#This Row],[Shares]]+Posts__2[[#This Row],[Comments]]</f>
        <v>5256</v>
      </c>
      <c r="P339" s="7">
        <f>_xlfn.XLOOKUP(Posts__2[[#This Row],[Platform]],'Engagement Summary'!B:B,'Engagement Summary'!G:G,"NA",0)</f>
        <v>26752</v>
      </c>
      <c r="Q339" t="str">
        <f>IFERROR(IF(C339 &lt; _xlfn.XLOOKUP(M339, 'Campaign Metadata'!A:A, 'Campaign Metadata'!B:B), "Before", "During"), "Not Found")</f>
        <v>During</v>
      </c>
      <c r="R339" s="13">
        <f>Posts__2[[#This Row],[Engagement]]/Posts__2[[#This Row],[Ad Spend]]</f>
        <v>0.19647129186602871</v>
      </c>
    </row>
    <row r="340" spans="1:18" x14ac:dyDescent="0.3">
      <c r="A340" t="s">
        <v>379</v>
      </c>
      <c r="B340" t="s">
        <v>32</v>
      </c>
      <c r="C340" s="1">
        <v>45535</v>
      </c>
      <c r="D340" t="s">
        <v>63</v>
      </c>
      <c r="E340" t="s">
        <v>66</v>
      </c>
      <c r="F340">
        <v>4494</v>
      </c>
      <c r="G340">
        <v>717</v>
      </c>
      <c r="H340">
        <v>45</v>
      </c>
      <c r="I340">
        <v>62916</v>
      </c>
      <c r="J340">
        <v>62688</v>
      </c>
      <c r="K340">
        <v>191</v>
      </c>
      <c r="L340" t="s">
        <v>54</v>
      </c>
      <c r="M340" t="s">
        <v>7</v>
      </c>
      <c r="N340" s="2">
        <f>(Posts__2[[#This Row],[Likes]]+Posts__2[[#This Row],[Shares]]+Posts__2[[#This Row],[Comments]])/Posts__2[[#This Row],[Impressions]]</f>
        <v>8.3539958039290485E-2</v>
      </c>
      <c r="O340" s="7">
        <f>Posts__2[[#This Row],[Likes]]+Posts__2[[#This Row],[Shares]]+Posts__2[[#This Row],[Comments]]</f>
        <v>5256</v>
      </c>
      <c r="P340" s="7">
        <f>_xlfn.XLOOKUP(Posts__2[[#This Row],[Platform]],'Engagement Summary'!B:B,'Engagement Summary'!G:G,"NA",0)</f>
        <v>26752</v>
      </c>
      <c r="Q340" t="str">
        <f>IFERROR(IF(C340 &lt; _xlfn.XLOOKUP(M340, 'Campaign Metadata'!A:A, 'Campaign Metadata'!B:B), "Before", "During"), "Not Found")</f>
        <v>During</v>
      </c>
      <c r="R340" s="13">
        <f>Posts__2[[#This Row],[Engagement]]/Posts__2[[#This Row],[Ad Spend]]</f>
        <v>0.19647129186602871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7B96B-5BCD-4F8E-AA07-7252FF9A7DCA}">
  <dimension ref="A1:D92"/>
  <sheetViews>
    <sheetView workbookViewId="0">
      <selection activeCell="B88" sqref="B88"/>
    </sheetView>
  </sheetViews>
  <sheetFormatPr defaultRowHeight="14.4" x14ac:dyDescent="0.3"/>
  <cols>
    <col min="1" max="1" width="20.21875" bestFit="1" customWidth="1"/>
    <col min="2" max="2" width="21.44140625" bestFit="1" customWidth="1"/>
    <col min="3" max="3" width="20.77734375" bestFit="1" customWidth="1"/>
    <col min="4" max="4" width="16.6640625" bestFit="1" customWidth="1"/>
  </cols>
  <sheetData>
    <row r="1" spans="1:4" x14ac:dyDescent="0.3">
      <c r="A1" s="17" t="s">
        <v>392</v>
      </c>
      <c r="B1" s="17"/>
    </row>
    <row r="2" spans="1:4" x14ac:dyDescent="0.3">
      <c r="A2" s="17"/>
      <c r="B2" s="17"/>
    </row>
    <row r="3" spans="1:4" x14ac:dyDescent="0.3">
      <c r="A3" s="3" t="s">
        <v>382</v>
      </c>
      <c r="B3" t="s">
        <v>391</v>
      </c>
    </row>
    <row r="4" spans="1:4" x14ac:dyDescent="0.3">
      <c r="A4" s="4" t="s">
        <v>30</v>
      </c>
      <c r="B4" s="5">
        <v>0.18531784517185629</v>
      </c>
    </row>
    <row r="5" spans="1:4" x14ac:dyDescent="0.3">
      <c r="A5" s="4" t="s">
        <v>32</v>
      </c>
      <c r="B5" s="5">
        <v>0.13739368723551609</v>
      </c>
    </row>
    <row r="6" spans="1:4" x14ac:dyDescent="0.3">
      <c r="A6" s="4" t="s">
        <v>33</v>
      </c>
      <c r="B6" s="5">
        <v>0.13298735096853673</v>
      </c>
    </row>
    <row r="7" spans="1:4" x14ac:dyDescent="0.3">
      <c r="A7" s="4" t="s">
        <v>31</v>
      </c>
      <c r="B7" s="5">
        <v>0.12094203382654924</v>
      </c>
    </row>
    <row r="8" spans="1:4" ht="15.6" x14ac:dyDescent="0.3">
      <c r="A8" s="18" t="s">
        <v>393</v>
      </c>
      <c r="B8" s="18"/>
      <c r="C8" s="18"/>
      <c r="D8" s="18"/>
    </row>
    <row r="14" spans="1:4" x14ac:dyDescent="0.3">
      <c r="A14" s="17" t="s">
        <v>394</v>
      </c>
      <c r="B14" s="17"/>
      <c r="C14" s="17"/>
    </row>
    <row r="15" spans="1:4" x14ac:dyDescent="0.3">
      <c r="A15" s="17"/>
      <c r="B15" s="17"/>
      <c r="C15" s="17"/>
    </row>
    <row r="16" spans="1:4" x14ac:dyDescent="0.3">
      <c r="A16" s="17"/>
      <c r="B16" s="17"/>
      <c r="C16" s="17"/>
    </row>
    <row r="17" spans="1:4" x14ac:dyDescent="0.3">
      <c r="A17" s="3" t="s">
        <v>382</v>
      </c>
      <c r="B17" t="s">
        <v>384</v>
      </c>
    </row>
    <row r="18" spans="1:4" x14ac:dyDescent="0.3">
      <c r="A18" s="4" t="s">
        <v>359</v>
      </c>
      <c r="B18">
        <v>16020</v>
      </c>
    </row>
    <row r="19" spans="1:4" x14ac:dyDescent="0.3">
      <c r="A19" s="4" t="s">
        <v>339</v>
      </c>
      <c r="B19">
        <v>15966</v>
      </c>
    </row>
    <row r="20" spans="1:4" x14ac:dyDescent="0.3">
      <c r="A20" s="4" t="s">
        <v>379</v>
      </c>
      <c r="B20">
        <v>15768</v>
      </c>
    </row>
    <row r="21" spans="1:4" x14ac:dyDescent="0.3">
      <c r="A21" s="4" t="s">
        <v>326</v>
      </c>
      <c r="B21">
        <v>12702</v>
      </c>
    </row>
    <row r="22" spans="1:4" x14ac:dyDescent="0.3">
      <c r="A22" s="4" t="s">
        <v>243</v>
      </c>
      <c r="B22">
        <v>12122</v>
      </c>
    </row>
    <row r="23" spans="1:4" x14ac:dyDescent="0.3">
      <c r="A23" s="4" t="s">
        <v>336</v>
      </c>
      <c r="B23">
        <v>11853</v>
      </c>
    </row>
    <row r="24" spans="1:4" x14ac:dyDescent="0.3">
      <c r="A24" s="4" t="s">
        <v>176</v>
      </c>
      <c r="B24">
        <v>10802</v>
      </c>
    </row>
    <row r="25" spans="1:4" x14ac:dyDescent="0.3">
      <c r="A25" s="4" t="s">
        <v>50</v>
      </c>
      <c r="B25">
        <v>9872</v>
      </c>
    </row>
    <row r="26" spans="1:4" x14ac:dyDescent="0.3">
      <c r="A26" s="4" t="s">
        <v>286</v>
      </c>
      <c r="B26">
        <v>9790</v>
      </c>
    </row>
    <row r="27" spans="1:4" x14ac:dyDescent="0.3">
      <c r="A27" s="4" t="s">
        <v>284</v>
      </c>
      <c r="B27">
        <v>9570</v>
      </c>
    </row>
    <row r="28" spans="1:4" ht="15.6" x14ac:dyDescent="0.3">
      <c r="A28" s="18" t="s">
        <v>395</v>
      </c>
      <c r="B28" s="18"/>
      <c r="C28" s="18"/>
      <c r="D28" s="18"/>
    </row>
    <row r="30" spans="1:4" x14ac:dyDescent="0.3">
      <c r="A30" s="19" t="s">
        <v>396</v>
      </c>
      <c r="B30" s="19"/>
      <c r="C30" s="19"/>
    </row>
    <row r="31" spans="1:4" x14ac:dyDescent="0.3">
      <c r="A31" s="19"/>
      <c r="B31" s="19"/>
      <c r="C31" s="19"/>
    </row>
    <row r="32" spans="1:4" x14ac:dyDescent="0.3">
      <c r="A32" s="19"/>
      <c r="B32" s="19"/>
      <c r="C32" s="19"/>
    </row>
    <row r="33" spans="1:4" x14ac:dyDescent="0.3">
      <c r="A33" s="3" t="s">
        <v>382</v>
      </c>
      <c r="B33" t="s">
        <v>385</v>
      </c>
      <c r="C33" t="s">
        <v>386</v>
      </c>
      <c r="D33" t="s">
        <v>387</v>
      </c>
    </row>
    <row r="34" spans="1:4" x14ac:dyDescent="0.3">
      <c r="A34" s="4" t="s">
        <v>31</v>
      </c>
      <c r="B34">
        <v>265966</v>
      </c>
      <c r="C34">
        <v>42720</v>
      </c>
      <c r="D34">
        <v>25855</v>
      </c>
    </row>
    <row r="35" spans="1:4" x14ac:dyDescent="0.3">
      <c r="A35" s="6" t="s">
        <v>63</v>
      </c>
      <c r="B35">
        <v>44476</v>
      </c>
      <c r="C35">
        <v>7400</v>
      </c>
      <c r="D35">
        <v>4589</v>
      </c>
    </row>
    <row r="36" spans="1:4" x14ac:dyDescent="0.3">
      <c r="A36" s="6" t="s">
        <v>68</v>
      </c>
      <c r="B36">
        <v>80073</v>
      </c>
      <c r="C36">
        <v>14376</v>
      </c>
      <c r="D36">
        <v>7308</v>
      </c>
    </row>
    <row r="37" spans="1:4" x14ac:dyDescent="0.3">
      <c r="A37" s="6" t="s">
        <v>46</v>
      </c>
      <c r="B37">
        <v>46102</v>
      </c>
      <c r="C37">
        <v>7149</v>
      </c>
      <c r="D37">
        <v>3732</v>
      </c>
    </row>
    <row r="38" spans="1:4" x14ac:dyDescent="0.3">
      <c r="A38" s="6" t="s">
        <v>58</v>
      </c>
      <c r="B38">
        <v>29405</v>
      </c>
      <c r="C38">
        <v>4950</v>
      </c>
      <c r="D38">
        <v>3223</v>
      </c>
    </row>
    <row r="39" spans="1:4" x14ac:dyDescent="0.3">
      <c r="A39" s="6" t="s">
        <v>51</v>
      </c>
      <c r="B39">
        <v>35357</v>
      </c>
      <c r="C39">
        <v>5127</v>
      </c>
      <c r="D39">
        <v>4424</v>
      </c>
    </row>
    <row r="40" spans="1:4" x14ac:dyDescent="0.3">
      <c r="A40" s="6" t="s">
        <v>82</v>
      </c>
      <c r="B40">
        <v>30553</v>
      </c>
      <c r="C40">
        <v>3718</v>
      </c>
      <c r="D40">
        <v>2579</v>
      </c>
    </row>
    <row r="41" spans="1:4" x14ac:dyDescent="0.3">
      <c r="A41" s="4" t="s">
        <v>30</v>
      </c>
      <c r="B41">
        <v>222773</v>
      </c>
      <c r="C41">
        <v>46563</v>
      </c>
      <c r="D41">
        <v>19898</v>
      </c>
    </row>
    <row r="42" spans="1:4" x14ac:dyDescent="0.3">
      <c r="A42" s="6" t="s">
        <v>63</v>
      </c>
      <c r="B42">
        <v>45776</v>
      </c>
      <c r="C42">
        <v>7903</v>
      </c>
      <c r="D42">
        <v>4382</v>
      </c>
    </row>
    <row r="43" spans="1:4" x14ac:dyDescent="0.3">
      <c r="A43" s="6" t="s">
        <v>68</v>
      </c>
      <c r="B43">
        <v>40391</v>
      </c>
      <c r="C43">
        <v>5989</v>
      </c>
      <c r="D43">
        <v>3646</v>
      </c>
    </row>
    <row r="44" spans="1:4" x14ac:dyDescent="0.3">
      <c r="A44" s="6" t="s">
        <v>46</v>
      </c>
      <c r="B44">
        <v>32148</v>
      </c>
      <c r="C44">
        <v>8110</v>
      </c>
      <c r="D44">
        <v>3386</v>
      </c>
    </row>
    <row r="45" spans="1:4" x14ac:dyDescent="0.3">
      <c r="A45" s="6" t="s">
        <v>58</v>
      </c>
      <c r="B45">
        <v>51313</v>
      </c>
      <c r="C45">
        <v>11591</v>
      </c>
      <c r="D45">
        <v>4284</v>
      </c>
    </row>
    <row r="46" spans="1:4" x14ac:dyDescent="0.3">
      <c r="A46" s="6" t="s">
        <v>51</v>
      </c>
      <c r="B46">
        <v>25567</v>
      </c>
      <c r="C46">
        <v>5112</v>
      </c>
      <c r="D46">
        <v>1946</v>
      </c>
    </row>
    <row r="47" spans="1:4" x14ac:dyDescent="0.3">
      <c r="A47" s="6" t="s">
        <v>82</v>
      </c>
      <c r="B47">
        <v>27578</v>
      </c>
      <c r="C47">
        <v>7858</v>
      </c>
      <c r="D47">
        <v>2254</v>
      </c>
    </row>
    <row r="48" spans="1:4" x14ac:dyDescent="0.3">
      <c r="A48" s="4" t="s">
        <v>32</v>
      </c>
      <c r="B48">
        <v>238849</v>
      </c>
      <c r="C48">
        <v>38158</v>
      </c>
      <c r="D48">
        <v>23935</v>
      </c>
    </row>
    <row r="49" spans="1:4" x14ac:dyDescent="0.3">
      <c r="A49" s="6" t="s">
        <v>63</v>
      </c>
      <c r="B49">
        <v>63769</v>
      </c>
      <c r="C49">
        <v>7949</v>
      </c>
      <c r="D49">
        <v>4622</v>
      </c>
    </row>
    <row r="50" spans="1:4" x14ac:dyDescent="0.3">
      <c r="A50" s="6" t="s">
        <v>68</v>
      </c>
      <c r="B50">
        <v>50158</v>
      </c>
      <c r="C50">
        <v>7895</v>
      </c>
      <c r="D50">
        <v>5743</v>
      </c>
    </row>
    <row r="51" spans="1:4" x14ac:dyDescent="0.3">
      <c r="A51" s="6" t="s">
        <v>46</v>
      </c>
      <c r="B51">
        <v>28490</v>
      </c>
      <c r="C51">
        <v>4734</v>
      </c>
      <c r="D51">
        <v>2257</v>
      </c>
    </row>
    <row r="52" spans="1:4" x14ac:dyDescent="0.3">
      <c r="A52" s="6" t="s">
        <v>58</v>
      </c>
      <c r="B52">
        <v>20466</v>
      </c>
      <c r="C52">
        <v>5090</v>
      </c>
      <c r="D52">
        <v>3026</v>
      </c>
    </row>
    <row r="53" spans="1:4" x14ac:dyDescent="0.3">
      <c r="A53" s="6" t="s">
        <v>51</v>
      </c>
      <c r="B53">
        <v>35953</v>
      </c>
      <c r="C53">
        <v>5250</v>
      </c>
      <c r="D53">
        <v>4403</v>
      </c>
    </row>
    <row r="54" spans="1:4" x14ac:dyDescent="0.3">
      <c r="A54" s="6" t="s">
        <v>82</v>
      </c>
      <c r="B54">
        <v>40013</v>
      </c>
      <c r="C54">
        <v>7240</v>
      </c>
      <c r="D54">
        <v>3884</v>
      </c>
    </row>
    <row r="55" spans="1:4" x14ac:dyDescent="0.3">
      <c r="A55" s="4" t="s">
        <v>33</v>
      </c>
      <c r="B55">
        <v>195887</v>
      </c>
      <c r="C55">
        <v>33306</v>
      </c>
      <c r="D55">
        <v>14440</v>
      </c>
    </row>
    <row r="56" spans="1:4" x14ac:dyDescent="0.3">
      <c r="A56" s="6" t="s">
        <v>63</v>
      </c>
      <c r="B56">
        <v>25730</v>
      </c>
      <c r="C56">
        <v>6944</v>
      </c>
      <c r="D56">
        <v>2465</v>
      </c>
    </row>
    <row r="57" spans="1:4" x14ac:dyDescent="0.3">
      <c r="A57" s="6" t="s">
        <v>68</v>
      </c>
      <c r="B57">
        <v>23903</v>
      </c>
      <c r="C57">
        <v>4310</v>
      </c>
      <c r="D57">
        <v>2077</v>
      </c>
    </row>
    <row r="58" spans="1:4" x14ac:dyDescent="0.3">
      <c r="A58" s="6" t="s">
        <v>46</v>
      </c>
      <c r="B58">
        <v>39022</v>
      </c>
      <c r="C58">
        <v>6036</v>
      </c>
      <c r="D58">
        <v>3234</v>
      </c>
    </row>
    <row r="59" spans="1:4" x14ac:dyDescent="0.3">
      <c r="A59" s="6" t="s">
        <v>58</v>
      </c>
      <c r="B59">
        <v>31968</v>
      </c>
      <c r="C59">
        <v>3866</v>
      </c>
      <c r="D59">
        <v>2012</v>
      </c>
    </row>
    <row r="60" spans="1:4" x14ac:dyDescent="0.3">
      <c r="A60" s="6" t="s">
        <v>51</v>
      </c>
      <c r="B60">
        <v>35429</v>
      </c>
      <c r="C60">
        <v>5204</v>
      </c>
      <c r="D60">
        <v>1293</v>
      </c>
    </row>
    <row r="61" spans="1:4" x14ac:dyDescent="0.3">
      <c r="A61" s="6" t="s">
        <v>82</v>
      </c>
      <c r="B61">
        <v>39835</v>
      </c>
      <c r="C61">
        <v>6946</v>
      </c>
      <c r="D61">
        <v>3359</v>
      </c>
    </row>
    <row r="63" spans="1:4" x14ac:dyDescent="0.3">
      <c r="A63" s="21" t="s">
        <v>398</v>
      </c>
      <c r="B63" s="21"/>
      <c r="C63" s="21"/>
      <c r="D63" s="21"/>
    </row>
    <row r="64" spans="1:4" x14ac:dyDescent="0.3">
      <c r="A64" s="21"/>
      <c r="B64" s="21"/>
      <c r="C64" s="21"/>
      <c r="D64" s="21"/>
    </row>
    <row r="67" spans="1:3" x14ac:dyDescent="0.3">
      <c r="A67" s="17" t="s">
        <v>399</v>
      </c>
      <c r="B67" s="17"/>
    </row>
    <row r="68" spans="1:3" x14ac:dyDescent="0.3">
      <c r="A68" s="17"/>
      <c r="B68" s="17"/>
    </row>
    <row r="69" spans="1:3" x14ac:dyDescent="0.3">
      <c r="A69" s="3" t="s">
        <v>382</v>
      </c>
      <c r="B69" t="s">
        <v>388</v>
      </c>
    </row>
    <row r="70" spans="1:3" x14ac:dyDescent="0.3">
      <c r="A70" s="4" t="s">
        <v>49</v>
      </c>
      <c r="B70" s="8">
        <v>161.19999999999999</v>
      </c>
    </row>
    <row r="71" spans="1:3" x14ac:dyDescent="0.3">
      <c r="A71" s="4" t="s">
        <v>53</v>
      </c>
      <c r="B71" s="8">
        <v>158.65420560747663</v>
      </c>
    </row>
    <row r="72" spans="1:3" x14ac:dyDescent="0.3">
      <c r="A72" s="4" t="s">
        <v>60</v>
      </c>
      <c r="B72" s="8">
        <v>151.52941176470588</v>
      </c>
    </row>
    <row r="73" spans="1:3" x14ac:dyDescent="0.3">
      <c r="A73" s="4" t="s">
        <v>48</v>
      </c>
      <c r="B73" s="8">
        <v>144.03883495145632</v>
      </c>
    </row>
    <row r="74" spans="1:3" x14ac:dyDescent="0.3">
      <c r="A74" s="4" t="s">
        <v>54</v>
      </c>
      <c r="B74" s="8">
        <v>114.85714285714286</v>
      </c>
    </row>
    <row r="75" spans="1:3" x14ac:dyDescent="0.3">
      <c r="A75" s="4" t="s">
        <v>18</v>
      </c>
      <c r="B75" s="8">
        <v>111.8</v>
      </c>
    </row>
    <row r="77" spans="1:3" x14ac:dyDescent="0.3">
      <c r="A77" s="22" t="s">
        <v>400</v>
      </c>
      <c r="B77" s="22"/>
      <c r="C77" s="22"/>
    </row>
    <row r="78" spans="1:3" x14ac:dyDescent="0.3">
      <c r="A78" s="22"/>
      <c r="B78" s="22"/>
      <c r="C78" s="22"/>
    </row>
    <row r="83" spans="1:3" x14ac:dyDescent="0.3">
      <c r="A83" s="3" t="s">
        <v>382</v>
      </c>
      <c r="B83" t="s">
        <v>409</v>
      </c>
      <c r="C83" t="s">
        <v>446</v>
      </c>
    </row>
    <row r="84" spans="1:3" x14ac:dyDescent="0.3">
      <c r="A84" s="4" t="s">
        <v>54</v>
      </c>
      <c r="B84" s="7">
        <v>4143.2857142857147</v>
      </c>
      <c r="C84" s="7">
        <v>47972</v>
      </c>
    </row>
    <row r="85" spans="1:3" x14ac:dyDescent="0.3">
      <c r="A85" s="4" t="s">
        <v>18</v>
      </c>
      <c r="B85" s="7">
        <v>3767.4</v>
      </c>
      <c r="C85" s="7">
        <v>36447.199999999997</v>
      </c>
    </row>
    <row r="86" spans="1:3" x14ac:dyDescent="0.3">
      <c r="A86" s="4" t="s">
        <v>60</v>
      </c>
      <c r="B86" s="7">
        <v>3534.7156862745096</v>
      </c>
      <c r="C86" s="7">
        <v>34738.823529411762</v>
      </c>
    </row>
    <row r="87" spans="1:3" x14ac:dyDescent="0.3">
      <c r="A87" s="4" t="s">
        <v>53</v>
      </c>
      <c r="B87" s="7">
        <v>3417.3084112149531</v>
      </c>
      <c r="C87" s="7">
        <v>35914</v>
      </c>
    </row>
    <row r="88" spans="1:3" x14ac:dyDescent="0.3">
      <c r="A88" s="4" t="s">
        <v>48</v>
      </c>
      <c r="B88" s="7">
        <v>3405.8543689320391</v>
      </c>
      <c r="C88" s="7">
        <v>33348.990291262133</v>
      </c>
    </row>
    <row r="89" spans="1:3" x14ac:dyDescent="0.3">
      <c r="A89" s="4" t="s">
        <v>49</v>
      </c>
      <c r="B89" s="7">
        <v>2900.9333333333334</v>
      </c>
      <c r="C89" s="7">
        <v>27974.133333333335</v>
      </c>
    </row>
    <row r="91" spans="1:3" x14ac:dyDescent="0.3">
      <c r="A91" s="20" t="s">
        <v>447</v>
      </c>
      <c r="B91" s="20"/>
      <c r="C91" s="20"/>
    </row>
    <row r="92" spans="1:3" x14ac:dyDescent="0.3">
      <c r="A92" s="20"/>
      <c r="B92" s="20"/>
      <c r="C92" s="20"/>
    </row>
  </sheetData>
  <mergeCells count="9">
    <mergeCell ref="A1:B2"/>
    <mergeCell ref="A14:C16"/>
    <mergeCell ref="A28:D28"/>
    <mergeCell ref="A30:C32"/>
    <mergeCell ref="A91:C92"/>
    <mergeCell ref="A63:D64"/>
    <mergeCell ref="A8:D8"/>
    <mergeCell ref="A67:B68"/>
    <mergeCell ref="A77:C78"/>
  </mergeCells>
  <conditionalFormatting sqref="A70">
    <cfRule type="top10" dxfId="3" priority="2" rank="1"/>
    <cfRule type="top10" dxfId="2" priority="3" rank="1"/>
  </conditionalFormatting>
  <conditionalFormatting sqref="A84:C84">
    <cfRule type="expression" dxfId="1" priority="1">
      <formula>MAX($B84)</formula>
    </cfRule>
  </conditionalFormatting>
  <conditionalFormatting sqref="B11">
    <cfRule type="top10" dxfId="0" priority="4" rank="10"/>
  </conditionalFormatting>
  <pageMargins left="0.7" right="0.7" top="0.75" bottom="0.75" header="0.3" footer="0.3"/>
  <pageSetup orientation="portrait" r:id="rId6"/>
  <drawing r:id="rId7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E39FA-2751-4655-B1DB-4C7FDFEEC265}">
  <dimension ref="A1:D40"/>
  <sheetViews>
    <sheetView topLeftCell="A16" workbookViewId="0">
      <selection activeCell="A33" sqref="A33:C40"/>
    </sheetView>
  </sheetViews>
  <sheetFormatPr defaultRowHeight="14.4" x14ac:dyDescent="0.3"/>
  <cols>
    <col min="1" max="1" width="12.5546875" bestFit="1" customWidth="1"/>
    <col min="2" max="2" width="18.88671875" bestFit="1" customWidth="1"/>
    <col min="3" max="3" width="21.44140625" bestFit="1" customWidth="1"/>
  </cols>
  <sheetData>
    <row r="1" spans="1:3" x14ac:dyDescent="0.3">
      <c r="A1" s="24" t="s">
        <v>401</v>
      </c>
      <c r="B1" s="24"/>
    </row>
    <row r="2" spans="1:3" x14ac:dyDescent="0.3">
      <c r="A2" s="24"/>
      <c r="B2" s="24"/>
    </row>
    <row r="3" spans="1:3" x14ac:dyDescent="0.3">
      <c r="A3" s="3" t="s">
        <v>382</v>
      </c>
      <c r="B3" t="s">
        <v>384</v>
      </c>
    </row>
    <row r="4" spans="1:3" x14ac:dyDescent="0.3">
      <c r="A4" s="4" t="s">
        <v>31</v>
      </c>
      <c r="B4">
        <v>334541</v>
      </c>
    </row>
    <row r="5" spans="1:3" x14ac:dyDescent="0.3">
      <c r="A5" s="4" t="s">
        <v>32</v>
      </c>
      <c r="B5">
        <v>300942</v>
      </c>
    </row>
    <row r="6" spans="1:3" x14ac:dyDescent="0.3">
      <c r="A6" s="4" t="s">
        <v>30</v>
      </c>
      <c r="B6">
        <v>289234</v>
      </c>
    </row>
    <row r="7" spans="1:3" x14ac:dyDescent="0.3">
      <c r="A7" s="4" t="s">
        <v>33</v>
      </c>
      <c r="B7">
        <v>243633</v>
      </c>
    </row>
    <row r="9" spans="1:3" x14ac:dyDescent="0.3">
      <c r="A9" s="25" t="s">
        <v>405</v>
      </c>
      <c r="B9" s="25"/>
      <c r="C9" s="25"/>
    </row>
    <row r="12" spans="1:3" x14ac:dyDescent="0.3">
      <c r="A12" s="17" t="s">
        <v>403</v>
      </c>
      <c r="B12" s="17"/>
      <c r="C12" s="17"/>
    </row>
    <row r="13" spans="1:3" x14ac:dyDescent="0.3">
      <c r="A13" s="17"/>
      <c r="B13" s="17"/>
      <c r="C13" s="17"/>
    </row>
    <row r="14" spans="1:3" x14ac:dyDescent="0.3">
      <c r="A14" s="3" t="s">
        <v>382</v>
      </c>
      <c r="B14" t="s">
        <v>402</v>
      </c>
    </row>
    <row r="15" spans="1:3" x14ac:dyDescent="0.3">
      <c r="A15" s="4" t="s">
        <v>32</v>
      </c>
      <c r="B15" s="10">
        <v>0.46400128383106698</v>
      </c>
    </row>
    <row r="16" spans="1:3" x14ac:dyDescent="0.3">
      <c r="A16" s="4" t="s">
        <v>33</v>
      </c>
      <c r="B16" s="10">
        <v>0.45105333156680044</v>
      </c>
    </row>
    <row r="17" spans="1:4" x14ac:dyDescent="0.3">
      <c r="A17" s="4" t="s">
        <v>30</v>
      </c>
      <c r="B17" s="10">
        <v>0.28812660632475912</v>
      </c>
    </row>
    <row r="18" spans="1:4" x14ac:dyDescent="0.3">
      <c r="A18" s="4" t="s">
        <v>31</v>
      </c>
      <c r="B18" s="10">
        <v>0.27324953416486325</v>
      </c>
    </row>
    <row r="19" spans="1:4" x14ac:dyDescent="0.3">
      <c r="A19" s="25" t="s">
        <v>404</v>
      </c>
      <c r="B19" s="25"/>
      <c r="C19" s="25"/>
      <c r="D19" s="25"/>
    </row>
    <row r="22" spans="1:4" x14ac:dyDescent="0.3">
      <c r="A22" s="17" t="s">
        <v>443</v>
      </c>
      <c r="B22" s="17"/>
      <c r="C22" s="17"/>
    </row>
    <row r="23" spans="1:4" x14ac:dyDescent="0.3">
      <c r="A23" s="17"/>
      <c r="B23" s="17"/>
      <c r="C23" s="17"/>
    </row>
    <row r="24" spans="1:4" x14ac:dyDescent="0.3">
      <c r="A24" s="17"/>
      <c r="B24" s="17"/>
      <c r="C24" s="17"/>
    </row>
    <row r="25" spans="1:4" x14ac:dyDescent="0.3">
      <c r="A25" s="3" t="s">
        <v>382</v>
      </c>
      <c r="B25" t="s">
        <v>442</v>
      </c>
      <c r="C25" t="s">
        <v>409</v>
      </c>
    </row>
    <row r="26" spans="1:4" x14ac:dyDescent="0.3">
      <c r="A26" s="4" t="s">
        <v>31</v>
      </c>
      <c r="B26">
        <v>9566</v>
      </c>
      <c r="C26" s="7">
        <v>3597.2150537634407</v>
      </c>
    </row>
    <row r="27" spans="1:4" x14ac:dyDescent="0.3">
      <c r="A27" s="4" t="s">
        <v>30</v>
      </c>
      <c r="B27">
        <v>5904</v>
      </c>
      <c r="C27" s="7">
        <v>3286.75</v>
      </c>
    </row>
    <row r="28" spans="1:4" x14ac:dyDescent="0.3">
      <c r="A28" s="4" t="s">
        <v>32</v>
      </c>
      <c r="B28">
        <v>26752</v>
      </c>
      <c r="C28" s="7">
        <v>3271.108695652174</v>
      </c>
    </row>
    <row r="29" spans="1:4" x14ac:dyDescent="0.3">
      <c r="A29" s="4" t="s">
        <v>33</v>
      </c>
      <c r="B29">
        <v>30671</v>
      </c>
      <c r="C29" s="7">
        <v>3691.409090909091</v>
      </c>
    </row>
    <row r="33" spans="1:3" x14ac:dyDescent="0.3">
      <c r="A33" s="23" t="s">
        <v>444</v>
      </c>
      <c r="B33" s="23"/>
      <c r="C33" s="23"/>
    </row>
    <row r="34" spans="1:3" x14ac:dyDescent="0.3">
      <c r="A34" s="23"/>
      <c r="B34" s="23"/>
      <c r="C34" s="23"/>
    </row>
    <row r="35" spans="1:3" x14ac:dyDescent="0.3">
      <c r="A35" s="23"/>
      <c r="B35" s="23"/>
      <c r="C35" s="23"/>
    </row>
    <row r="36" spans="1:3" x14ac:dyDescent="0.3">
      <c r="A36" s="23"/>
      <c r="B36" s="23"/>
      <c r="C36" s="23"/>
    </row>
    <row r="37" spans="1:3" x14ac:dyDescent="0.3">
      <c r="A37" s="23"/>
      <c r="B37" s="23"/>
      <c r="C37" s="23"/>
    </row>
    <row r="38" spans="1:3" x14ac:dyDescent="0.3">
      <c r="A38" s="23"/>
      <c r="B38" s="23"/>
      <c r="C38" s="23"/>
    </row>
    <row r="39" spans="1:3" x14ac:dyDescent="0.3">
      <c r="A39" s="23"/>
      <c r="B39" s="23"/>
      <c r="C39" s="23"/>
    </row>
    <row r="40" spans="1:3" x14ac:dyDescent="0.3">
      <c r="A40" s="23"/>
      <c r="B40" s="23"/>
      <c r="C40" s="23"/>
    </row>
  </sheetData>
  <mergeCells count="6">
    <mergeCell ref="A33:C40"/>
    <mergeCell ref="A1:B2"/>
    <mergeCell ref="A9:C9"/>
    <mergeCell ref="A12:C13"/>
    <mergeCell ref="A19:D19"/>
    <mergeCell ref="A22:C24"/>
  </mergeCells>
  <pageMargins left="0.7" right="0.7" top="0.75" bottom="0.75" header="0.3" footer="0.3"/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F018A-D42E-49BD-BE44-F3C8BAFC54A8}">
  <dimension ref="A1:G52"/>
  <sheetViews>
    <sheetView topLeftCell="A31" workbookViewId="0">
      <selection activeCell="P55" sqref="P55"/>
    </sheetView>
  </sheetViews>
  <sheetFormatPr defaultRowHeight="14.4" x14ac:dyDescent="0.3"/>
  <cols>
    <col min="1" max="1" width="21.44140625" bestFit="1" customWidth="1"/>
    <col min="2" max="2" width="15.5546875" bestFit="1" customWidth="1"/>
    <col min="3" max="3" width="6.21875" bestFit="1" customWidth="1"/>
    <col min="4" max="4" width="5" bestFit="1" customWidth="1"/>
    <col min="5" max="5" width="5.44140625" bestFit="1" customWidth="1"/>
    <col min="6" max="6" width="5" bestFit="1" customWidth="1"/>
    <col min="7" max="7" width="5.88671875" bestFit="1" customWidth="1"/>
    <col min="8" max="8" width="10.77734375" bestFit="1" customWidth="1"/>
  </cols>
  <sheetData>
    <row r="1" spans="1:2" x14ac:dyDescent="0.3">
      <c r="A1" s="19" t="s">
        <v>407</v>
      </c>
      <c r="B1" s="19"/>
    </row>
    <row r="2" spans="1:2" x14ac:dyDescent="0.3">
      <c r="A2" s="19"/>
      <c r="B2" s="19"/>
    </row>
    <row r="3" spans="1:2" x14ac:dyDescent="0.3">
      <c r="A3" s="3" t="s">
        <v>382</v>
      </c>
      <c r="B3" t="s">
        <v>406</v>
      </c>
    </row>
    <row r="4" spans="1:2" x14ac:dyDescent="0.3">
      <c r="A4" s="4" t="s">
        <v>53</v>
      </c>
      <c r="B4">
        <v>107</v>
      </c>
    </row>
    <row r="5" spans="1:2" x14ac:dyDescent="0.3">
      <c r="A5" s="4" t="s">
        <v>48</v>
      </c>
      <c r="B5">
        <v>103</v>
      </c>
    </row>
    <row r="6" spans="1:2" x14ac:dyDescent="0.3">
      <c r="A6" s="4" t="s">
        <v>60</v>
      </c>
      <c r="B6">
        <v>102</v>
      </c>
    </row>
    <row r="7" spans="1:2" x14ac:dyDescent="0.3">
      <c r="A7" s="4" t="s">
        <v>49</v>
      </c>
      <c r="B7">
        <v>15</v>
      </c>
    </row>
    <row r="8" spans="1:2" x14ac:dyDescent="0.3">
      <c r="A8" s="4" t="s">
        <v>54</v>
      </c>
      <c r="B8">
        <v>7</v>
      </c>
    </row>
    <row r="9" spans="1:2" x14ac:dyDescent="0.3">
      <c r="A9" s="4" t="s">
        <v>18</v>
      </c>
      <c r="B9">
        <v>5</v>
      </c>
    </row>
    <row r="10" spans="1:2" x14ac:dyDescent="0.3">
      <c r="A10" s="21" t="s">
        <v>408</v>
      </c>
      <c r="B10" s="21"/>
    </row>
    <row r="11" spans="1:2" x14ac:dyDescent="0.3">
      <c r="A11" s="21"/>
      <c r="B11" s="21"/>
    </row>
    <row r="13" spans="1:2" x14ac:dyDescent="0.3">
      <c r="A13" s="24" t="s">
        <v>410</v>
      </c>
      <c r="B13" s="24"/>
    </row>
    <row r="14" spans="1:2" x14ac:dyDescent="0.3">
      <c r="A14" s="24"/>
      <c r="B14" s="24"/>
    </row>
    <row r="15" spans="1:2" x14ac:dyDescent="0.3">
      <c r="A15" s="3" t="s">
        <v>382</v>
      </c>
      <c r="B15" t="s">
        <v>409</v>
      </c>
    </row>
    <row r="16" spans="1:2" x14ac:dyDescent="0.3">
      <c r="A16" s="4" t="s">
        <v>54</v>
      </c>
      <c r="B16" s="7">
        <v>4143.2857142857147</v>
      </c>
    </row>
    <row r="17" spans="1:2" x14ac:dyDescent="0.3">
      <c r="A17" s="4" t="s">
        <v>18</v>
      </c>
      <c r="B17" s="7">
        <v>3767.4</v>
      </c>
    </row>
    <row r="18" spans="1:2" x14ac:dyDescent="0.3">
      <c r="A18" s="4" t="s">
        <v>60</v>
      </c>
      <c r="B18" s="7">
        <v>3534.7156862745096</v>
      </c>
    </row>
    <row r="19" spans="1:2" x14ac:dyDescent="0.3">
      <c r="A19" s="4" t="s">
        <v>53</v>
      </c>
      <c r="B19" s="7">
        <v>3417.3084112149531</v>
      </c>
    </row>
    <row r="20" spans="1:2" x14ac:dyDescent="0.3">
      <c r="A20" s="4" t="s">
        <v>48</v>
      </c>
      <c r="B20" s="7">
        <v>3405.8543689320391</v>
      </c>
    </row>
    <row r="21" spans="1:2" x14ac:dyDescent="0.3">
      <c r="A21" s="4" t="s">
        <v>49</v>
      </c>
      <c r="B21" s="7">
        <v>2900.9333333333334</v>
      </c>
    </row>
    <row r="22" spans="1:2" x14ac:dyDescent="0.3">
      <c r="A22" s="21" t="s">
        <v>415</v>
      </c>
      <c r="B22" s="21"/>
    </row>
    <row r="23" spans="1:2" x14ac:dyDescent="0.3">
      <c r="A23" s="21"/>
      <c r="B23" s="21"/>
    </row>
    <row r="26" spans="1:2" x14ac:dyDescent="0.3">
      <c r="A26" s="27" t="s">
        <v>411</v>
      </c>
      <c r="B26" s="27"/>
    </row>
    <row r="27" spans="1:2" x14ac:dyDescent="0.3">
      <c r="A27" s="27"/>
      <c r="B27" s="27"/>
    </row>
    <row r="28" spans="1:2" x14ac:dyDescent="0.3">
      <c r="A28" s="3" t="s">
        <v>382</v>
      </c>
      <c r="B28" t="s">
        <v>409</v>
      </c>
    </row>
    <row r="29" spans="1:2" x14ac:dyDescent="0.3">
      <c r="A29" s="4" t="s">
        <v>58</v>
      </c>
      <c r="B29" s="7">
        <v>3566.5416666666665</v>
      </c>
    </row>
    <row r="30" spans="1:2" x14ac:dyDescent="0.3">
      <c r="A30" s="4" t="s">
        <v>46</v>
      </c>
      <c r="B30" s="7">
        <v>3479.2452830188681</v>
      </c>
    </row>
    <row r="31" spans="1:2" x14ac:dyDescent="0.3">
      <c r="A31" s="4" t="s">
        <v>82</v>
      </c>
      <c r="B31" s="7">
        <v>3447.3921568627452</v>
      </c>
    </row>
    <row r="32" spans="1:2" x14ac:dyDescent="0.3">
      <c r="A32" s="4" t="s">
        <v>51</v>
      </c>
      <c r="B32" s="7">
        <v>3438.8541666666665</v>
      </c>
    </row>
    <row r="33" spans="1:7" x14ac:dyDescent="0.3">
      <c r="A33" s="4" t="s">
        <v>68</v>
      </c>
      <c r="B33" s="7">
        <v>3414.8472222222222</v>
      </c>
    </row>
    <row r="34" spans="1:7" x14ac:dyDescent="0.3">
      <c r="A34" s="4" t="s">
        <v>63</v>
      </c>
      <c r="B34" s="7">
        <v>3373.2089552238808</v>
      </c>
    </row>
    <row r="35" spans="1:7" x14ac:dyDescent="0.3">
      <c r="A35" s="28" t="s">
        <v>412</v>
      </c>
      <c r="B35" s="28"/>
    </row>
    <row r="36" spans="1:7" x14ac:dyDescent="0.3">
      <c r="A36" s="28"/>
      <c r="B36" s="28"/>
    </row>
    <row r="38" spans="1:7" x14ac:dyDescent="0.3">
      <c r="A38" s="19" t="s">
        <v>413</v>
      </c>
      <c r="B38" s="19"/>
    </row>
    <row r="39" spans="1:7" x14ac:dyDescent="0.3">
      <c r="A39" s="19"/>
      <c r="B39" s="19"/>
    </row>
    <row r="40" spans="1:7" x14ac:dyDescent="0.3">
      <c r="A40" s="3" t="s">
        <v>409</v>
      </c>
      <c r="B40" s="3" t="s">
        <v>397</v>
      </c>
    </row>
    <row r="41" spans="1:7" x14ac:dyDescent="0.3">
      <c r="A41" s="3" t="s">
        <v>382</v>
      </c>
      <c r="B41" t="s">
        <v>63</v>
      </c>
      <c r="C41" t="s">
        <v>68</v>
      </c>
      <c r="D41" t="s">
        <v>46</v>
      </c>
      <c r="E41" t="s">
        <v>58</v>
      </c>
      <c r="F41" t="s">
        <v>51</v>
      </c>
      <c r="G41" t="s">
        <v>82</v>
      </c>
    </row>
    <row r="42" spans="1:7" x14ac:dyDescent="0.3">
      <c r="A42" s="4" t="s">
        <v>31</v>
      </c>
      <c r="B42" s="7">
        <v>4033.2142857142858</v>
      </c>
      <c r="C42" s="7">
        <v>3634.1785714285716</v>
      </c>
      <c r="D42" s="7">
        <v>4070.2142857142858</v>
      </c>
      <c r="E42" s="7">
        <v>3416.181818181818</v>
      </c>
      <c r="F42" s="7">
        <v>2806.75</v>
      </c>
      <c r="G42" s="7">
        <v>3685</v>
      </c>
    </row>
    <row r="43" spans="1:7" x14ac:dyDescent="0.3">
      <c r="A43" s="4" t="s">
        <v>30</v>
      </c>
      <c r="B43" s="7">
        <v>3055.8421052631579</v>
      </c>
      <c r="C43" s="7">
        <v>3848.1538461538462</v>
      </c>
      <c r="D43" s="7">
        <v>3357.2307692307691</v>
      </c>
      <c r="E43" s="7">
        <v>3536.2105263157896</v>
      </c>
      <c r="F43" s="7">
        <v>3262.5</v>
      </c>
      <c r="G43" s="7">
        <v>2692.1428571428573</v>
      </c>
    </row>
    <row r="44" spans="1:7" x14ac:dyDescent="0.3">
      <c r="A44" s="4" t="s">
        <v>32</v>
      </c>
      <c r="B44" s="7">
        <v>3470</v>
      </c>
      <c r="C44" s="7">
        <v>2899.818181818182</v>
      </c>
      <c r="D44" s="7">
        <v>2956.75</v>
      </c>
      <c r="E44" s="7">
        <v>3175.7777777777778</v>
      </c>
      <c r="F44" s="7">
        <v>3800.5</v>
      </c>
      <c r="G44" s="7">
        <v>3409.1333333333332</v>
      </c>
    </row>
    <row r="45" spans="1:7" x14ac:dyDescent="0.3">
      <c r="A45" s="4" t="s">
        <v>33</v>
      </c>
      <c r="B45" s="7">
        <v>2928.25</v>
      </c>
      <c r="C45" s="7">
        <v>3365.5555555555557</v>
      </c>
      <c r="D45" s="7">
        <v>3449.4285714285716</v>
      </c>
      <c r="E45" s="7">
        <v>4205.1111111111113</v>
      </c>
      <c r="F45" s="7">
        <v>4192.6000000000004</v>
      </c>
      <c r="G45" s="7">
        <v>4178.333333333333</v>
      </c>
    </row>
    <row r="47" spans="1:7" ht="14.4" customHeight="1" x14ac:dyDescent="0.3">
      <c r="A47" s="26" t="s">
        <v>414</v>
      </c>
      <c r="B47" s="26"/>
    </row>
    <row r="48" spans="1:7" x14ac:dyDescent="0.3">
      <c r="A48" s="26"/>
      <c r="B48" s="26"/>
    </row>
    <row r="49" spans="1:2" x14ac:dyDescent="0.3">
      <c r="A49" s="26"/>
      <c r="B49" s="26"/>
    </row>
    <row r="50" spans="1:2" x14ac:dyDescent="0.3">
      <c r="A50" s="26"/>
      <c r="B50" s="26"/>
    </row>
    <row r="51" spans="1:2" x14ac:dyDescent="0.3">
      <c r="A51" s="26"/>
      <c r="B51" s="26"/>
    </row>
    <row r="52" spans="1:2" x14ac:dyDescent="0.3">
      <c r="A52" s="26"/>
      <c r="B52" s="26"/>
    </row>
  </sheetData>
  <mergeCells count="8">
    <mergeCell ref="A38:B39"/>
    <mergeCell ref="A47:B52"/>
    <mergeCell ref="A1:B2"/>
    <mergeCell ref="A10:B11"/>
    <mergeCell ref="A13:B14"/>
    <mergeCell ref="A22:B23"/>
    <mergeCell ref="A26:B27"/>
    <mergeCell ref="A35:B36"/>
  </mergeCells>
  <conditionalFormatting pivot="1" sqref="B42:G4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1801D-5631-42A8-8315-081992BA79BC}">
  <dimension ref="A1:G46"/>
  <sheetViews>
    <sheetView topLeftCell="A28" workbookViewId="0">
      <selection activeCell="B18" sqref="B18"/>
    </sheetView>
  </sheetViews>
  <sheetFormatPr defaultRowHeight="14.4" x14ac:dyDescent="0.3"/>
  <cols>
    <col min="1" max="1" width="16" bestFit="1" customWidth="1"/>
    <col min="2" max="2" width="18.109375" bestFit="1" customWidth="1"/>
    <col min="3" max="3" width="15.88671875" bestFit="1" customWidth="1"/>
    <col min="4" max="4" width="21.44140625" bestFit="1" customWidth="1"/>
    <col min="5" max="5" width="16.33203125" bestFit="1" customWidth="1"/>
    <col min="6" max="6" width="16.88671875" bestFit="1" customWidth="1"/>
    <col min="7" max="7" width="15.33203125" bestFit="1" customWidth="1"/>
    <col min="10" max="10" width="16" bestFit="1" customWidth="1"/>
    <col min="11" max="11" width="22.33203125" bestFit="1" customWidth="1"/>
    <col min="12" max="12" width="15.88671875" bestFit="1" customWidth="1"/>
    <col min="13" max="13" width="21.44140625" bestFit="1" customWidth="1"/>
    <col min="14" max="14" width="16.33203125" bestFit="1" customWidth="1"/>
    <col min="15" max="15" width="16.88671875" bestFit="1" customWidth="1"/>
    <col min="16" max="16" width="15.33203125" bestFit="1" customWidth="1"/>
  </cols>
  <sheetData>
    <row r="1" spans="1:7" x14ac:dyDescent="0.3">
      <c r="A1" s="11" t="s">
        <v>416</v>
      </c>
      <c r="B1" s="11" t="s">
        <v>417</v>
      </c>
      <c r="C1" s="11" t="s">
        <v>418</v>
      </c>
      <c r="D1" s="11" t="s">
        <v>419</v>
      </c>
      <c r="E1" s="11" t="s">
        <v>420</v>
      </c>
      <c r="F1" s="11" t="s">
        <v>421</v>
      </c>
      <c r="G1" s="11" t="s">
        <v>422</v>
      </c>
    </row>
    <row r="2" spans="1:7" x14ac:dyDescent="0.3">
      <c r="A2" t="s">
        <v>7</v>
      </c>
      <c r="B2">
        <f>SUMIFS(Task1!I:I,Task1!M:M,"CybertruckLaunch")</f>
        <v>2090555</v>
      </c>
      <c r="C2" s="8">
        <f>AVERAGEIFS(Task1!I:I,Task1!M:M,"CybertruckLaunch")</f>
        <v>39444.433962264149</v>
      </c>
      <c r="D2">
        <f>SUMIFS(Task1!F:F,Task1!M:M,"CybertruckLaunch")</f>
        <v>154613</v>
      </c>
      <c r="E2" s="8">
        <f>AVERAGEIFS(Task1!F:F,Task1!M:M,"CybertruckLaunch")</f>
        <v>2917.2264150943397</v>
      </c>
      <c r="F2">
        <f>SUMIFS(Task1!K:K,Task1!M:M,"CybertruckLaunch")</f>
        <v>7094</v>
      </c>
      <c r="G2" s="12">
        <f>AVERAGEIFS(Task1!K:K,Task1!M:M,"CybertruckLaunch")</f>
        <v>133.84905660377359</v>
      </c>
    </row>
    <row r="3" spans="1:7" x14ac:dyDescent="0.3">
      <c r="A3" t="s">
        <v>11</v>
      </c>
      <c r="B3">
        <f>SUMIFS(Task1!I:I,Task1!M:M,"ModelYCampaign")</f>
        <v>2318527</v>
      </c>
      <c r="C3" s="8">
        <f>AVERAGEIFS(Task1!I:I,Task1!M:M,"ModelYCampaign")</f>
        <v>34095.98529411765</v>
      </c>
      <c r="D3">
        <f>SUMIFS(Task1!F:F,Task1!M:M,"ModelYCampaign")</f>
        <v>185071</v>
      </c>
      <c r="E3" s="8">
        <f>AVERAGEIFS(Task1!F:F,Task1!M:M,"ModelYCampaign")</f>
        <v>2721.6323529411766</v>
      </c>
      <c r="F3">
        <f>SUMIFS(Task1!K:K,Task1!M:M,"ModelYCampaign")</f>
        <v>11168</v>
      </c>
      <c r="G3" s="12">
        <f>AVERAGEIFS(Task1!K:K,Task1!M:M,"ModelYCampaign")</f>
        <v>164.23529411764707</v>
      </c>
    </row>
    <row r="4" spans="1:7" x14ac:dyDescent="0.3">
      <c r="A4" t="s">
        <v>15</v>
      </c>
      <c r="B4">
        <f>SUMIFS(Task1!I:I,Task1!M:M,"FSDUpdate")</f>
        <v>2507489</v>
      </c>
      <c r="C4" s="8">
        <f>AVERAGEIFS(Task1!I:I,Task1!M:M,"FSDUpdate")</f>
        <v>32993.276315789473</v>
      </c>
      <c r="D4">
        <f>SUMIFS(Task1!F:F,Task1!M:M,"FSDUpdate")</f>
        <v>201400</v>
      </c>
      <c r="E4" s="8">
        <f>AVERAGEIFS(Task1!F:F,Task1!M:M,"FSDUpdate")</f>
        <v>2650</v>
      </c>
      <c r="F4">
        <f>SUMIFS(Task1!K:K,Task1!M:M,"FSDUpdate")</f>
        <v>11039</v>
      </c>
      <c r="G4" s="12">
        <f>AVERAGEIFS(Task1!K:K,Task1!M:M,"FSDUpdate")</f>
        <v>145.25</v>
      </c>
    </row>
    <row r="5" spans="1:7" x14ac:dyDescent="0.3">
      <c r="A5" t="s">
        <v>19</v>
      </c>
      <c r="B5">
        <f>SUMIFS(Task1!I:I,Task1!M:M,"SustainabilityDrive")</f>
        <v>2905567</v>
      </c>
      <c r="C5" s="8">
        <f>AVERAGEIFS(Task1!I:I,Task1!M:M,"SustainabilityDrive")</f>
        <v>35871.1975308642</v>
      </c>
      <c r="D5">
        <f>SUMIFS(Task1!F:F,Task1!M:M,"SustainabilityDrive")</f>
        <v>219562</v>
      </c>
      <c r="E5" s="8">
        <f>AVERAGEIFS(Task1!F:F,Task1!M:M,"SustainabilityDrive")</f>
        <v>2710.641975308642</v>
      </c>
      <c r="F5">
        <f>SUMIFS(Task1!K:K,Task1!M:M,"SustainabilityDrive")</f>
        <v>12544</v>
      </c>
      <c r="G5" s="12">
        <f>AVERAGEIFS(Task1!K:K,Task1!M:M,"SustainabilityDrive")</f>
        <v>154.8641975308642</v>
      </c>
    </row>
    <row r="7" spans="1:7" x14ac:dyDescent="0.3">
      <c r="A7" s="3" t="s">
        <v>382</v>
      </c>
      <c r="B7" t="s">
        <v>423</v>
      </c>
      <c r="C7" t="s">
        <v>428</v>
      </c>
      <c r="D7" t="s">
        <v>424</v>
      </c>
      <c r="E7" t="s">
        <v>425</v>
      </c>
      <c r="F7" t="s">
        <v>427</v>
      </c>
      <c r="G7" t="s">
        <v>426</v>
      </c>
    </row>
    <row r="8" spans="1:7" x14ac:dyDescent="0.3">
      <c r="A8" s="4" t="s">
        <v>19</v>
      </c>
      <c r="B8">
        <v>2905567</v>
      </c>
      <c r="C8" s="12">
        <v>154.8641975308642</v>
      </c>
      <c r="D8" s="8">
        <v>35871.1975308642</v>
      </c>
      <c r="E8">
        <v>219562</v>
      </c>
      <c r="F8">
        <v>12544</v>
      </c>
      <c r="G8" s="8">
        <v>2710.641975308642</v>
      </c>
    </row>
    <row r="9" spans="1:7" x14ac:dyDescent="0.3">
      <c r="A9" s="4" t="s">
        <v>15</v>
      </c>
      <c r="B9">
        <v>2507489</v>
      </c>
      <c r="C9" s="12">
        <v>145.25</v>
      </c>
      <c r="D9" s="8">
        <v>32993.276315789473</v>
      </c>
      <c r="E9">
        <v>201400</v>
      </c>
      <c r="F9">
        <v>11039</v>
      </c>
      <c r="G9" s="8">
        <v>2650</v>
      </c>
    </row>
    <row r="10" spans="1:7" x14ac:dyDescent="0.3">
      <c r="A10" s="4" t="s">
        <v>11</v>
      </c>
      <c r="B10">
        <v>2318527</v>
      </c>
      <c r="C10" s="12">
        <v>164.23529411764707</v>
      </c>
      <c r="D10" s="8">
        <v>34095.98529411765</v>
      </c>
      <c r="E10">
        <v>185071</v>
      </c>
      <c r="F10">
        <v>11168</v>
      </c>
      <c r="G10" s="8">
        <v>2721.6323529411766</v>
      </c>
    </row>
    <row r="11" spans="1:7" x14ac:dyDescent="0.3">
      <c r="A11" s="4" t="s">
        <v>7</v>
      </c>
      <c r="B11">
        <v>2090555</v>
      </c>
      <c r="C11" s="12">
        <v>133.84905660377359</v>
      </c>
      <c r="D11" s="8">
        <v>39444.433962264149</v>
      </c>
      <c r="E11">
        <v>154613</v>
      </c>
      <c r="F11">
        <v>7094</v>
      </c>
      <c r="G11" s="8">
        <v>2917.2264150943397</v>
      </c>
    </row>
    <row r="13" spans="1:7" x14ac:dyDescent="0.3">
      <c r="A13" s="29" t="s">
        <v>431</v>
      </c>
      <c r="B13" s="29"/>
      <c r="C13" s="29"/>
    </row>
    <row r="14" spans="1:7" x14ac:dyDescent="0.3">
      <c r="A14" s="29"/>
      <c r="B14" s="29"/>
      <c r="C14" s="29"/>
    </row>
    <row r="16" spans="1:7" x14ac:dyDescent="0.3">
      <c r="A16" s="11" t="s">
        <v>416</v>
      </c>
      <c r="B16" s="11" t="s">
        <v>432</v>
      </c>
      <c r="C16" s="11" t="s">
        <v>433</v>
      </c>
      <c r="D16" s="11" t="s">
        <v>430</v>
      </c>
    </row>
    <row r="17" spans="1:4" x14ac:dyDescent="0.3">
      <c r="A17" t="s">
        <v>7</v>
      </c>
      <c r="B17" s="7">
        <f>AVERAGEIFS(Task1!I:I,Task1!Q:Q,"Before",Task1!M:M,"CybertruckLaunch")</f>
        <v>13148.5</v>
      </c>
      <c r="C17" s="7">
        <f>AVERAGEIFS(Task1!I:I,Task1!Q:Q,"During",Task1!M:M,"CybertruckLaunch")</f>
        <v>40475.647058823532</v>
      </c>
      <c r="D17" s="2">
        <f>(C17-B17)/B17</f>
        <v>2.0783471163116349</v>
      </c>
    </row>
    <row r="18" spans="1:4" x14ac:dyDescent="0.3">
      <c r="A18" t="s">
        <v>11</v>
      </c>
      <c r="B18" s="7">
        <f>AVERAGEIFS(Task1!I:I,Task1!Q:Q,"Before",Task1!M:M,"ModelYCampaign")</f>
        <v>34591.208333333336</v>
      </c>
      <c r="C18" s="7">
        <f>AVERAGEIFS(Task1!I:I,Task1!Q:Q,"During",Task1!M:M,"ModelYCampaign")</f>
        <v>33825.86363636364</v>
      </c>
      <c r="D18" s="2">
        <f t="shared" ref="D18:D20" si="0">(C18-B18)/B18</f>
        <v>-2.2125410873033376E-2</v>
      </c>
    </row>
    <row r="19" spans="1:4" x14ac:dyDescent="0.3">
      <c r="A19" t="s">
        <v>15</v>
      </c>
      <c r="B19" s="7">
        <f>AVERAGEIFS(Task1!I:I,Task1!Q:Q,"Before",Task1!M:M,"FSDUpdate")</f>
        <v>30890.16</v>
      </c>
      <c r="C19" s="7">
        <f>AVERAGEIFS(Task1!I:I,Task1!Q:Q,"During",Task1!M:M,"FSDUpdate")</f>
        <v>37037.730769230766</v>
      </c>
      <c r="D19" s="2">
        <f t="shared" si="0"/>
        <v>0.1990138856267098</v>
      </c>
    </row>
    <row r="20" spans="1:4" x14ac:dyDescent="0.3">
      <c r="A20" t="s">
        <v>19</v>
      </c>
      <c r="B20" s="7">
        <f>AVERAGEIFS(Task1!I:I,Task1!Q:Q,"Before",Task1!M:M,"SustainabilityDrive")</f>
        <v>37212.183333333334</v>
      </c>
      <c r="C20" s="7">
        <f>AVERAGEIFS(Task1!I:I,Task1!Q:Q,"During",Task1!M:M,"SustainabilityDrive")</f>
        <v>32039.809523809523</v>
      </c>
      <c r="D20" s="2">
        <f t="shared" si="0"/>
        <v>-0.13899678401537341</v>
      </c>
    </row>
    <row r="22" spans="1:4" x14ac:dyDescent="0.3">
      <c r="A22" s="30" t="s">
        <v>434</v>
      </c>
      <c r="B22" s="30"/>
      <c r="C22" s="30"/>
    </row>
    <row r="23" spans="1:4" x14ac:dyDescent="0.3">
      <c r="A23" s="30"/>
      <c r="B23" s="30"/>
      <c r="C23" s="30"/>
    </row>
    <row r="27" spans="1:4" x14ac:dyDescent="0.3">
      <c r="A27" s="3" t="s">
        <v>382</v>
      </c>
      <c r="B27" t="s">
        <v>436</v>
      </c>
    </row>
    <row r="28" spans="1:4" x14ac:dyDescent="0.3">
      <c r="A28" s="4" t="s">
        <v>7</v>
      </c>
      <c r="B28" s="13">
        <v>0.32619267653466399</v>
      </c>
    </row>
    <row r="29" spans="1:4" x14ac:dyDescent="0.3">
      <c r="A29" s="4" t="s">
        <v>11</v>
      </c>
      <c r="B29" s="13">
        <v>0.32444996550832078</v>
      </c>
    </row>
    <row r="30" spans="1:4" x14ac:dyDescent="0.3">
      <c r="A30" s="4" t="s">
        <v>15</v>
      </c>
      <c r="B30" s="13">
        <v>0.31029900097286828</v>
      </c>
    </row>
    <row r="31" spans="1:4" x14ac:dyDescent="0.3">
      <c r="A31" s="4" t="s">
        <v>380</v>
      </c>
      <c r="B31" s="13">
        <v>0.29908947061455349</v>
      </c>
    </row>
    <row r="32" spans="1:4" x14ac:dyDescent="0.3">
      <c r="A32" s="4" t="s">
        <v>19</v>
      </c>
      <c r="B32" s="13">
        <v>0.2713104442668921</v>
      </c>
    </row>
    <row r="34" spans="1:2" x14ac:dyDescent="0.3">
      <c r="A34" s="29" t="s">
        <v>437</v>
      </c>
      <c r="B34" s="29"/>
    </row>
    <row r="35" spans="1:2" x14ac:dyDescent="0.3">
      <c r="A35" s="29"/>
      <c r="B35" s="29"/>
    </row>
    <row r="39" spans="1:2" x14ac:dyDescent="0.3">
      <c r="A39" s="3" t="s">
        <v>382</v>
      </c>
      <c r="B39" t="s">
        <v>402</v>
      </c>
    </row>
    <row r="40" spans="1:2" x14ac:dyDescent="0.3">
      <c r="A40" s="4" t="s">
        <v>19</v>
      </c>
      <c r="B40" s="10">
        <v>0.56167728235160752</v>
      </c>
    </row>
    <row r="41" spans="1:2" x14ac:dyDescent="0.3">
      <c r="A41" s="4" t="s">
        <v>11</v>
      </c>
      <c r="B41" s="10">
        <v>0.44877894963615877</v>
      </c>
    </row>
    <row r="42" spans="1:2" x14ac:dyDescent="0.3">
      <c r="A42" s="4" t="s">
        <v>7</v>
      </c>
      <c r="B42" s="10">
        <v>0.22517317401164699</v>
      </c>
    </row>
    <row r="43" spans="1:2" x14ac:dyDescent="0.3">
      <c r="A43" s="4" t="s">
        <v>15</v>
      </c>
      <c r="B43" s="10">
        <v>0.16972345850270198</v>
      </c>
    </row>
    <row r="45" spans="1:2" x14ac:dyDescent="0.3">
      <c r="A45" s="29" t="s">
        <v>439</v>
      </c>
      <c r="B45" s="29"/>
    </row>
    <row r="46" spans="1:2" x14ac:dyDescent="0.3">
      <c r="A46" s="29"/>
      <c r="B46" s="29"/>
    </row>
  </sheetData>
  <mergeCells count="4">
    <mergeCell ref="A13:C14"/>
    <mergeCell ref="A22:C23"/>
    <mergeCell ref="A34:B35"/>
    <mergeCell ref="A45:B46"/>
  </mergeCells>
  <conditionalFormatting pivot="1" sqref="B8:B11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C8:C1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D8:D1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E8:E1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F8:F1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G8:G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DD138-9ED7-4A66-9912-7810D5712944}">
  <dimension ref="A3:K253"/>
  <sheetViews>
    <sheetView tabSelected="1" workbookViewId="0">
      <selection activeCell="F50" sqref="F50"/>
    </sheetView>
  </sheetViews>
  <sheetFormatPr defaultRowHeight="14.4" x14ac:dyDescent="0.3"/>
  <cols>
    <col min="1" max="1" width="13.109375" bestFit="1" customWidth="1"/>
    <col min="2" max="2" width="25.88671875" bestFit="1" customWidth="1"/>
    <col min="3" max="3" width="9.44140625" bestFit="1" customWidth="1"/>
    <col min="4" max="4" width="6.88671875" bestFit="1" customWidth="1"/>
    <col min="5" max="5" width="8.44140625" bestFit="1" customWidth="1"/>
    <col min="6" max="6" width="10.77734375" bestFit="1" customWidth="1"/>
  </cols>
  <sheetData>
    <row r="3" spans="1:2" x14ac:dyDescent="0.3">
      <c r="A3" s="3" t="s">
        <v>382</v>
      </c>
      <c r="B3" t="s">
        <v>440</v>
      </c>
    </row>
    <row r="4" spans="1:2" x14ac:dyDescent="0.3">
      <c r="A4" s="14">
        <v>45656</v>
      </c>
      <c r="B4" s="7">
        <v>6530</v>
      </c>
    </row>
    <row r="5" spans="1:2" x14ac:dyDescent="0.3">
      <c r="A5" s="6" t="s">
        <v>31</v>
      </c>
      <c r="B5" s="7">
        <v>1776</v>
      </c>
    </row>
    <row r="6" spans="1:2" x14ac:dyDescent="0.3">
      <c r="A6" s="6" t="s">
        <v>30</v>
      </c>
      <c r="B6" s="7">
        <v>1765</v>
      </c>
    </row>
    <row r="7" spans="1:2" x14ac:dyDescent="0.3">
      <c r="A7" s="6" t="s">
        <v>32</v>
      </c>
      <c r="B7" s="7">
        <v>1529</v>
      </c>
    </row>
    <row r="8" spans="1:2" x14ac:dyDescent="0.3">
      <c r="A8" s="6" t="s">
        <v>33</v>
      </c>
      <c r="B8" s="7">
        <v>1460</v>
      </c>
    </row>
    <row r="9" spans="1:2" x14ac:dyDescent="0.3">
      <c r="A9" s="14">
        <v>45698</v>
      </c>
      <c r="B9" s="7">
        <v>5281</v>
      </c>
    </row>
    <row r="10" spans="1:2" x14ac:dyDescent="0.3">
      <c r="A10" s="6" t="s">
        <v>30</v>
      </c>
      <c r="B10" s="7">
        <v>1723</v>
      </c>
    </row>
    <row r="11" spans="1:2" x14ac:dyDescent="0.3">
      <c r="A11" s="6" t="s">
        <v>33</v>
      </c>
      <c r="B11" s="7">
        <v>1444</v>
      </c>
    </row>
    <row r="12" spans="1:2" x14ac:dyDescent="0.3">
      <c r="A12" s="6" t="s">
        <v>32</v>
      </c>
      <c r="B12" s="7">
        <v>1202</v>
      </c>
    </row>
    <row r="13" spans="1:2" x14ac:dyDescent="0.3">
      <c r="A13" s="6" t="s">
        <v>31</v>
      </c>
      <c r="B13" s="7">
        <v>912</v>
      </c>
    </row>
    <row r="14" spans="1:2" x14ac:dyDescent="0.3">
      <c r="A14" s="14">
        <v>45642</v>
      </c>
      <c r="B14" s="7">
        <v>5044</v>
      </c>
    </row>
    <row r="15" spans="1:2" x14ac:dyDescent="0.3">
      <c r="A15" s="6" t="s">
        <v>30</v>
      </c>
      <c r="B15" s="7">
        <v>1432</v>
      </c>
    </row>
    <row r="16" spans="1:2" x14ac:dyDescent="0.3">
      <c r="A16" s="6" t="s">
        <v>31</v>
      </c>
      <c r="B16" s="7">
        <v>1377</v>
      </c>
    </row>
    <row r="17" spans="1:7" x14ac:dyDescent="0.3">
      <c r="A17" s="6" t="s">
        <v>32</v>
      </c>
      <c r="B17" s="7">
        <v>1359</v>
      </c>
      <c r="D17" s="22" t="s">
        <v>441</v>
      </c>
      <c r="E17" s="22"/>
      <c r="F17" s="22"/>
      <c r="G17" s="22"/>
    </row>
    <row r="18" spans="1:7" x14ac:dyDescent="0.3">
      <c r="A18" s="6" t="s">
        <v>33</v>
      </c>
      <c r="B18" s="7">
        <v>876</v>
      </c>
      <c r="D18" s="22"/>
      <c r="E18" s="22"/>
      <c r="F18" s="22"/>
      <c r="G18" s="22"/>
    </row>
    <row r="19" spans="1:7" x14ac:dyDescent="0.3">
      <c r="A19" s="14">
        <v>45712</v>
      </c>
      <c r="B19" s="7">
        <v>4806</v>
      </c>
      <c r="D19" s="22"/>
      <c r="E19" s="22"/>
      <c r="F19" s="22"/>
      <c r="G19" s="22"/>
    </row>
    <row r="20" spans="1:7" x14ac:dyDescent="0.3">
      <c r="A20" s="6" t="s">
        <v>31</v>
      </c>
      <c r="B20" s="7">
        <v>1707</v>
      </c>
      <c r="D20" s="22"/>
      <c r="E20" s="22"/>
      <c r="F20" s="22"/>
      <c r="G20" s="22"/>
    </row>
    <row r="21" spans="1:7" x14ac:dyDescent="0.3">
      <c r="A21" s="6" t="s">
        <v>30</v>
      </c>
      <c r="B21" s="7">
        <v>1375</v>
      </c>
    </row>
    <row r="22" spans="1:7" x14ac:dyDescent="0.3">
      <c r="A22" s="6" t="s">
        <v>33</v>
      </c>
      <c r="B22" s="7">
        <v>1016</v>
      </c>
    </row>
    <row r="23" spans="1:7" x14ac:dyDescent="0.3">
      <c r="A23" s="6" t="s">
        <v>32</v>
      </c>
      <c r="B23" s="7">
        <v>708</v>
      </c>
      <c r="F23" s="7"/>
    </row>
    <row r="24" spans="1:7" x14ac:dyDescent="0.3">
      <c r="A24" s="14">
        <v>45628</v>
      </c>
      <c r="B24" s="7">
        <v>4795</v>
      </c>
      <c r="F24" s="7"/>
    </row>
    <row r="25" spans="1:7" x14ac:dyDescent="0.3">
      <c r="A25" s="6" t="s">
        <v>31</v>
      </c>
      <c r="B25" s="7">
        <v>1706</v>
      </c>
    </row>
    <row r="26" spans="1:7" x14ac:dyDescent="0.3">
      <c r="A26" s="6" t="s">
        <v>30</v>
      </c>
      <c r="B26" s="7">
        <v>1625</v>
      </c>
    </row>
    <row r="27" spans="1:7" x14ac:dyDescent="0.3">
      <c r="A27" s="6" t="s">
        <v>32</v>
      </c>
      <c r="B27" s="7">
        <v>1173</v>
      </c>
    </row>
    <row r="28" spans="1:7" x14ac:dyDescent="0.3">
      <c r="A28" s="6" t="s">
        <v>33</v>
      </c>
      <c r="B28" s="7">
        <v>291</v>
      </c>
    </row>
    <row r="29" spans="1:7" x14ac:dyDescent="0.3">
      <c r="A29" s="14">
        <v>45635</v>
      </c>
      <c r="B29" s="7">
        <v>4792</v>
      </c>
    </row>
    <row r="30" spans="1:7" x14ac:dyDescent="0.3">
      <c r="A30" s="6" t="s">
        <v>32</v>
      </c>
      <c r="B30" s="7">
        <v>1727</v>
      </c>
    </row>
    <row r="31" spans="1:7" x14ac:dyDescent="0.3">
      <c r="A31" s="6" t="s">
        <v>31</v>
      </c>
      <c r="B31" s="7">
        <v>1373</v>
      </c>
    </row>
    <row r="32" spans="1:7" x14ac:dyDescent="0.3">
      <c r="A32" s="6" t="s">
        <v>30</v>
      </c>
      <c r="B32" s="7">
        <v>1119</v>
      </c>
    </row>
    <row r="33" spans="1:11" x14ac:dyDescent="0.3">
      <c r="A33" s="6" t="s">
        <v>33</v>
      </c>
      <c r="B33" s="7">
        <v>573</v>
      </c>
    </row>
    <row r="34" spans="1:11" x14ac:dyDescent="0.3">
      <c r="A34" s="14">
        <v>45782</v>
      </c>
      <c r="B34" s="7">
        <v>4594</v>
      </c>
    </row>
    <row r="35" spans="1:11" x14ac:dyDescent="0.3">
      <c r="A35" s="6" t="s">
        <v>30</v>
      </c>
      <c r="B35" s="7">
        <v>1881</v>
      </c>
    </row>
    <row r="36" spans="1:11" x14ac:dyDescent="0.3">
      <c r="A36" s="6" t="s">
        <v>32</v>
      </c>
      <c r="B36" s="7">
        <v>1510</v>
      </c>
    </row>
    <row r="37" spans="1:11" x14ac:dyDescent="0.3">
      <c r="A37" s="6" t="s">
        <v>33</v>
      </c>
      <c r="B37" s="7">
        <v>864</v>
      </c>
    </row>
    <row r="38" spans="1:11" x14ac:dyDescent="0.3">
      <c r="A38" s="6" t="s">
        <v>31</v>
      </c>
      <c r="B38" s="7">
        <v>339</v>
      </c>
    </row>
    <row r="39" spans="1:11" x14ac:dyDescent="0.3">
      <c r="A39" s="14">
        <v>45600</v>
      </c>
      <c r="B39" s="7">
        <v>4584</v>
      </c>
    </row>
    <row r="40" spans="1:11" x14ac:dyDescent="0.3">
      <c r="A40" s="6" t="s">
        <v>32</v>
      </c>
      <c r="B40" s="7">
        <v>1603</v>
      </c>
    </row>
    <row r="41" spans="1:11" x14ac:dyDescent="0.3">
      <c r="A41" s="6" t="s">
        <v>30</v>
      </c>
      <c r="B41" s="7">
        <v>1397</v>
      </c>
    </row>
    <row r="42" spans="1:11" x14ac:dyDescent="0.3">
      <c r="A42" s="6" t="s">
        <v>33</v>
      </c>
      <c r="B42" s="7">
        <v>1044</v>
      </c>
    </row>
    <row r="43" spans="1:11" ht="15" thickBot="1" x14ac:dyDescent="0.35">
      <c r="A43" s="6" t="s">
        <v>31</v>
      </c>
      <c r="B43" s="7">
        <v>540</v>
      </c>
    </row>
    <row r="44" spans="1:11" x14ac:dyDescent="0.3">
      <c r="A44" s="14">
        <v>45544</v>
      </c>
      <c r="B44" s="7">
        <v>4360</v>
      </c>
      <c r="I44" s="16"/>
      <c r="J44" s="16" t="s">
        <v>29</v>
      </c>
      <c r="K44" s="16" t="s">
        <v>438</v>
      </c>
    </row>
    <row r="45" spans="1:11" x14ac:dyDescent="0.3">
      <c r="A45" s="6" t="s">
        <v>30</v>
      </c>
      <c r="B45" s="7">
        <v>1572</v>
      </c>
      <c r="I45" t="s">
        <v>29</v>
      </c>
      <c r="J45">
        <v>1</v>
      </c>
    </row>
    <row r="46" spans="1:11" ht="15" thickBot="1" x14ac:dyDescent="0.35">
      <c r="A46" s="6" t="s">
        <v>31</v>
      </c>
      <c r="B46" s="7">
        <v>1428</v>
      </c>
      <c r="I46" s="15" t="s">
        <v>438</v>
      </c>
      <c r="J46" s="15">
        <v>8.5932221904422137E-2</v>
      </c>
      <c r="K46" s="15">
        <v>1</v>
      </c>
    </row>
    <row r="47" spans="1:11" x14ac:dyDescent="0.3">
      <c r="A47" s="6" t="s">
        <v>33</v>
      </c>
      <c r="B47" s="7">
        <v>1100</v>
      </c>
    </row>
    <row r="48" spans="1:11" x14ac:dyDescent="0.3">
      <c r="A48" s="6" t="s">
        <v>32</v>
      </c>
      <c r="B48" s="7">
        <v>260</v>
      </c>
      <c r="I48" s="31" t="s">
        <v>445</v>
      </c>
      <c r="J48" s="31"/>
      <c r="K48" s="31"/>
    </row>
    <row r="49" spans="1:11" x14ac:dyDescent="0.3">
      <c r="A49" s="14">
        <v>45747</v>
      </c>
      <c r="B49" s="7">
        <v>4298</v>
      </c>
      <c r="I49" s="31"/>
      <c r="J49" s="31"/>
      <c r="K49" s="31"/>
    </row>
    <row r="50" spans="1:11" x14ac:dyDescent="0.3">
      <c r="A50" s="6" t="s">
        <v>32</v>
      </c>
      <c r="B50" s="7">
        <v>1676</v>
      </c>
    </row>
    <row r="51" spans="1:11" x14ac:dyDescent="0.3">
      <c r="A51" s="6" t="s">
        <v>33</v>
      </c>
      <c r="B51" s="7">
        <v>1467</v>
      </c>
    </row>
    <row r="52" spans="1:11" x14ac:dyDescent="0.3">
      <c r="A52" s="6" t="s">
        <v>30</v>
      </c>
      <c r="B52" s="7">
        <v>641</v>
      </c>
    </row>
    <row r="53" spans="1:11" x14ac:dyDescent="0.3">
      <c r="A53" s="6" t="s">
        <v>31</v>
      </c>
      <c r="B53" s="7">
        <v>514</v>
      </c>
    </row>
    <row r="54" spans="1:11" x14ac:dyDescent="0.3">
      <c r="A54" s="14">
        <v>45733</v>
      </c>
      <c r="B54" s="7">
        <v>4042</v>
      </c>
    </row>
    <row r="55" spans="1:11" x14ac:dyDescent="0.3">
      <c r="A55" s="6" t="s">
        <v>33</v>
      </c>
      <c r="B55" s="7">
        <v>1385</v>
      </c>
    </row>
    <row r="56" spans="1:11" x14ac:dyDescent="0.3">
      <c r="A56" s="6" t="s">
        <v>31</v>
      </c>
      <c r="B56" s="7">
        <v>1116</v>
      </c>
    </row>
    <row r="57" spans="1:11" x14ac:dyDescent="0.3">
      <c r="A57" s="6" t="s">
        <v>32</v>
      </c>
      <c r="B57" s="7">
        <v>861</v>
      </c>
    </row>
    <row r="58" spans="1:11" x14ac:dyDescent="0.3">
      <c r="A58" s="6" t="s">
        <v>30</v>
      </c>
      <c r="B58" s="7">
        <v>680</v>
      </c>
    </row>
    <row r="59" spans="1:11" x14ac:dyDescent="0.3">
      <c r="A59" s="14">
        <v>45768</v>
      </c>
      <c r="B59" s="7">
        <v>4040</v>
      </c>
    </row>
    <row r="60" spans="1:11" x14ac:dyDescent="0.3">
      <c r="A60" s="6" t="s">
        <v>33</v>
      </c>
      <c r="B60" s="7">
        <v>1633</v>
      </c>
    </row>
    <row r="61" spans="1:11" x14ac:dyDescent="0.3">
      <c r="A61" s="6" t="s">
        <v>31</v>
      </c>
      <c r="B61" s="7">
        <v>1045</v>
      </c>
    </row>
    <row r="62" spans="1:11" x14ac:dyDescent="0.3">
      <c r="A62" s="6" t="s">
        <v>32</v>
      </c>
      <c r="B62" s="7">
        <v>759</v>
      </c>
    </row>
    <row r="63" spans="1:11" x14ac:dyDescent="0.3">
      <c r="A63" s="6" t="s">
        <v>30</v>
      </c>
      <c r="B63" s="7">
        <v>603</v>
      </c>
    </row>
    <row r="64" spans="1:11" x14ac:dyDescent="0.3">
      <c r="A64" s="14">
        <v>45621</v>
      </c>
      <c r="B64" s="7">
        <v>4008</v>
      </c>
    </row>
    <row r="65" spans="1:2" x14ac:dyDescent="0.3">
      <c r="A65" s="6" t="s">
        <v>30</v>
      </c>
      <c r="B65" s="7">
        <v>1693</v>
      </c>
    </row>
    <row r="66" spans="1:2" x14ac:dyDescent="0.3">
      <c r="A66" s="6" t="s">
        <v>31</v>
      </c>
      <c r="B66" s="7">
        <v>1332</v>
      </c>
    </row>
    <row r="67" spans="1:2" x14ac:dyDescent="0.3">
      <c r="A67" s="6" t="s">
        <v>33</v>
      </c>
      <c r="B67" s="7">
        <v>885</v>
      </c>
    </row>
    <row r="68" spans="1:2" x14ac:dyDescent="0.3">
      <c r="A68" s="6" t="s">
        <v>32</v>
      </c>
      <c r="B68" s="7">
        <v>98</v>
      </c>
    </row>
    <row r="69" spans="1:2" x14ac:dyDescent="0.3">
      <c r="A69" s="14">
        <v>45649</v>
      </c>
      <c r="B69" s="7">
        <v>3914</v>
      </c>
    </row>
    <row r="70" spans="1:2" x14ac:dyDescent="0.3">
      <c r="A70" s="6" t="s">
        <v>33</v>
      </c>
      <c r="B70" s="7">
        <v>1589</v>
      </c>
    </row>
    <row r="71" spans="1:2" x14ac:dyDescent="0.3">
      <c r="A71" s="6" t="s">
        <v>32</v>
      </c>
      <c r="B71" s="7">
        <v>911</v>
      </c>
    </row>
    <row r="72" spans="1:2" x14ac:dyDescent="0.3">
      <c r="A72" s="6" t="s">
        <v>31</v>
      </c>
      <c r="B72" s="7">
        <v>730</v>
      </c>
    </row>
    <row r="73" spans="1:2" x14ac:dyDescent="0.3">
      <c r="A73" s="6" t="s">
        <v>30</v>
      </c>
      <c r="B73" s="7">
        <v>684</v>
      </c>
    </row>
    <row r="74" spans="1:2" x14ac:dyDescent="0.3">
      <c r="A74" s="14">
        <v>45460</v>
      </c>
      <c r="B74" s="7">
        <v>3907</v>
      </c>
    </row>
    <row r="75" spans="1:2" x14ac:dyDescent="0.3">
      <c r="A75" s="6" t="s">
        <v>31</v>
      </c>
      <c r="B75" s="7">
        <v>1382</v>
      </c>
    </row>
    <row r="76" spans="1:2" x14ac:dyDescent="0.3">
      <c r="A76" s="6" t="s">
        <v>32</v>
      </c>
      <c r="B76" s="7">
        <v>1295</v>
      </c>
    </row>
    <row r="77" spans="1:2" x14ac:dyDescent="0.3">
      <c r="A77" s="6" t="s">
        <v>30</v>
      </c>
      <c r="B77" s="7">
        <v>893</v>
      </c>
    </row>
    <row r="78" spans="1:2" x14ac:dyDescent="0.3">
      <c r="A78" s="6" t="s">
        <v>33</v>
      </c>
      <c r="B78" s="7">
        <v>337</v>
      </c>
    </row>
    <row r="79" spans="1:2" x14ac:dyDescent="0.3">
      <c r="A79" s="14">
        <v>45572</v>
      </c>
      <c r="B79" s="7">
        <v>3759</v>
      </c>
    </row>
    <row r="80" spans="1:2" x14ac:dyDescent="0.3">
      <c r="A80" s="6" t="s">
        <v>30</v>
      </c>
      <c r="B80" s="7">
        <v>1872</v>
      </c>
    </row>
    <row r="81" spans="1:2" x14ac:dyDescent="0.3">
      <c r="A81" s="6" t="s">
        <v>31</v>
      </c>
      <c r="B81" s="7">
        <v>1662</v>
      </c>
    </row>
    <row r="82" spans="1:2" x14ac:dyDescent="0.3">
      <c r="A82" s="6" t="s">
        <v>33</v>
      </c>
      <c r="B82" s="7">
        <v>118</v>
      </c>
    </row>
    <row r="83" spans="1:2" x14ac:dyDescent="0.3">
      <c r="A83" s="6" t="s">
        <v>32</v>
      </c>
      <c r="B83" s="7">
        <v>107</v>
      </c>
    </row>
    <row r="84" spans="1:2" x14ac:dyDescent="0.3">
      <c r="A84" s="14">
        <v>45516</v>
      </c>
      <c r="B84" s="7">
        <v>3728</v>
      </c>
    </row>
    <row r="85" spans="1:2" x14ac:dyDescent="0.3">
      <c r="A85" s="6" t="s">
        <v>31</v>
      </c>
      <c r="B85" s="7">
        <v>1334</v>
      </c>
    </row>
    <row r="86" spans="1:2" x14ac:dyDescent="0.3">
      <c r="A86" s="6" t="s">
        <v>30</v>
      </c>
      <c r="B86" s="7">
        <v>1325</v>
      </c>
    </row>
    <row r="87" spans="1:2" x14ac:dyDescent="0.3">
      <c r="A87" s="6" t="s">
        <v>33</v>
      </c>
      <c r="B87" s="7">
        <v>1032</v>
      </c>
    </row>
    <row r="88" spans="1:2" x14ac:dyDescent="0.3">
      <c r="A88" s="6" t="s">
        <v>32</v>
      </c>
      <c r="B88" s="7">
        <v>37</v>
      </c>
    </row>
    <row r="89" spans="1:2" x14ac:dyDescent="0.3">
      <c r="A89" s="14">
        <v>45726</v>
      </c>
      <c r="B89" s="7">
        <v>3712</v>
      </c>
    </row>
    <row r="90" spans="1:2" x14ac:dyDescent="0.3">
      <c r="A90" s="6" t="s">
        <v>32</v>
      </c>
      <c r="B90" s="7">
        <v>1350</v>
      </c>
    </row>
    <row r="91" spans="1:2" x14ac:dyDescent="0.3">
      <c r="A91" s="6" t="s">
        <v>33</v>
      </c>
      <c r="B91" s="7">
        <v>1242</v>
      </c>
    </row>
    <row r="92" spans="1:2" x14ac:dyDescent="0.3">
      <c r="A92" s="6" t="s">
        <v>31</v>
      </c>
      <c r="B92" s="7">
        <v>908</v>
      </c>
    </row>
    <row r="93" spans="1:2" x14ac:dyDescent="0.3">
      <c r="A93" s="6" t="s">
        <v>30</v>
      </c>
      <c r="B93" s="7">
        <v>212</v>
      </c>
    </row>
    <row r="94" spans="1:2" x14ac:dyDescent="0.3">
      <c r="A94" s="14">
        <v>45705</v>
      </c>
      <c r="B94" s="7">
        <v>3693</v>
      </c>
    </row>
    <row r="95" spans="1:2" x14ac:dyDescent="0.3">
      <c r="A95" s="6" t="s">
        <v>31</v>
      </c>
      <c r="B95" s="7">
        <v>1590</v>
      </c>
    </row>
    <row r="96" spans="1:2" x14ac:dyDescent="0.3">
      <c r="A96" s="6" t="s">
        <v>33</v>
      </c>
      <c r="B96" s="7">
        <v>1175</v>
      </c>
    </row>
    <row r="97" spans="1:2" x14ac:dyDescent="0.3">
      <c r="A97" s="6" t="s">
        <v>30</v>
      </c>
      <c r="B97" s="7">
        <v>965</v>
      </c>
    </row>
    <row r="98" spans="1:2" x14ac:dyDescent="0.3">
      <c r="A98" s="6" t="s">
        <v>32</v>
      </c>
      <c r="B98" s="7">
        <v>-37</v>
      </c>
    </row>
    <row r="99" spans="1:2" x14ac:dyDescent="0.3">
      <c r="A99" s="14">
        <v>45677</v>
      </c>
      <c r="B99" s="7">
        <v>3614</v>
      </c>
    </row>
    <row r="100" spans="1:2" x14ac:dyDescent="0.3">
      <c r="A100" s="6" t="s">
        <v>30</v>
      </c>
      <c r="B100" s="7">
        <v>1572</v>
      </c>
    </row>
    <row r="101" spans="1:2" x14ac:dyDescent="0.3">
      <c r="A101" s="6" t="s">
        <v>32</v>
      </c>
      <c r="B101" s="7">
        <v>891</v>
      </c>
    </row>
    <row r="102" spans="1:2" x14ac:dyDescent="0.3">
      <c r="A102" s="6" t="s">
        <v>33</v>
      </c>
      <c r="B102" s="7">
        <v>724</v>
      </c>
    </row>
    <row r="103" spans="1:2" x14ac:dyDescent="0.3">
      <c r="A103" s="6" t="s">
        <v>31</v>
      </c>
      <c r="B103" s="7">
        <v>427</v>
      </c>
    </row>
    <row r="104" spans="1:2" x14ac:dyDescent="0.3">
      <c r="A104" s="14">
        <v>45775</v>
      </c>
      <c r="B104" s="7">
        <v>3577</v>
      </c>
    </row>
    <row r="105" spans="1:2" x14ac:dyDescent="0.3">
      <c r="A105" s="6" t="s">
        <v>30</v>
      </c>
      <c r="B105" s="7">
        <v>1539</v>
      </c>
    </row>
    <row r="106" spans="1:2" x14ac:dyDescent="0.3">
      <c r="A106" s="6" t="s">
        <v>32</v>
      </c>
      <c r="B106" s="7">
        <v>948</v>
      </c>
    </row>
    <row r="107" spans="1:2" x14ac:dyDescent="0.3">
      <c r="A107" s="6" t="s">
        <v>33</v>
      </c>
      <c r="B107" s="7">
        <v>637</v>
      </c>
    </row>
    <row r="108" spans="1:2" x14ac:dyDescent="0.3">
      <c r="A108" s="6" t="s">
        <v>31</v>
      </c>
      <c r="B108" s="7">
        <v>453</v>
      </c>
    </row>
    <row r="109" spans="1:2" x14ac:dyDescent="0.3">
      <c r="A109" s="14">
        <v>45663</v>
      </c>
      <c r="B109" s="7">
        <v>3557</v>
      </c>
    </row>
    <row r="110" spans="1:2" x14ac:dyDescent="0.3">
      <c r="A110" s="6" t="s">
        <v>32</v>
      </c>
      <c r="B110" s="7">
        <v>1188</v>
      </c>
    </row>
    <row r="111" spans="1:2" x14ac:dyDescent="0.3">
      <c r="A111" s="6" t="s">
        <v>30</v>
      </c>
      <c r="B111" s="7">
        <v>903</v>
      </c>
    </row>
    <row r="112" spans="1:2" x14ac:dyDescent="0.3">
      <c r="A112" s="6" t="s">
        <v>33</v>
      </c>
      <c r="B112" s="7">
        <v>846</v>
      </c>
    </row>
    <row r="113" spans="1:2" x14ac:dyDescent="0.3">
      <c r="A113" s="6" t="s">
        <v>31</v>
      </c>
      <c r="B113" s="7">
        <v>620</v>
      </c>
    </row>
    <row r="114" spans="1:2" x14ac:dyDescent="0.3">
      <c r="A114" s="14">
        <v>45446</v>
      </c>
      <c r="B114" s="7">
        <v>3554</v>
      </c>
    </row>
    <row r="115" spans="1:2" x14ac:dyDescent="0.3">
      <c r="A115" s="6" t="s">
        <v>33</v>
      </c>
      <c r="B115" s="7">
        <v>1090</v>
      </c>
    </row>
    <row r="116" spans="1:2" x14ac:dyDescent="0.3">
      <c r="A116" s="6" t="s">
        <v>30</v>
      </c>
      <c r="B116" s="7">
        <v>1047</v>
      </c>
    </row>
    <row r="117" spans="1:2" x14ac:dyDescent="0.3">
      <c r="A117" s="6" t="s">
        <v>31</v>
      </c>
      <c r="B117" s="7">
        <v>1002</v>
      </c>
    </row>
    <row r="118" spans="1:2" x14ac:dyDescent="0.3">
      <c r="A118" s="6" t="s">
        <v>32</v>
      </c>
      <c r="B118" s="7">
        <v>415</v>
      </c>
    </row>
    <row r="119" spans="1:2" x14ac:dyDescent="0.3">
      <c r="A119" s="14">
        <v>45684</v>
      </c>
      <c r="B119" s="7">
        <v>3383</v>
      </c>
    </row>
    <row r="120" spans="1:2" x14ac:dyDescent="0.3">
      <c r="A120" s="6" t="s">
        <v>32</v>
      </c>
      <c r="B120" s="7">
        <v>1426</v>
      </c>
    </row>
    <row r="121" spans="1:2" x14ac:dyDescent="0.3">
      <c r="A121" s="6" t="s">
        <v>33</v>
      </c>
      <c r="B121" s="7">
        <v>1225</v>
      </c>
    </row>
    <row r="122" spans="1:2" x14ac:dyDescent="0.3">
      <c r="A122" s="6" t="s">
        <v>31</v>
      </c>
      <c r="B122" s="7">
        <v>898</v>
      </c>
    </row>
    <row r="123" spans="1:2" x14ac:dyDescent="0.3">
      <c r="A123" s="6" t="s">
        <v>30</v>
      </c>
      <c r="B123" s="7">
        <v>-166</v>
      </c>
    </row>
    <row r="124" spans="1:2" x14ac:dyDescent="0.3">
      <c r="A124" s="14">
        <v>45558</v>
      </c>
      <c r="B124" s="7">
        <v>3333</v>
      </c>
    </row>
    <row r="125" spans="1:2" x14ac:dyDescent="0.3">
      <c r="A125" s="6" t="s">
        <v>32</v>
      </c>
      <c r="B125" s="7">
        <v>1680</v>
      </c>
    </row>
    <row r="126" spans="1:2" x14ac:dyDescent="0.3">
      <c r="A126" s="6" t="s">
        <v>33</v>
      </c>
      <c r="B126" s="7">
        <v>1006</v>
      </c>
    </row>
    <row r="127" spans="1:2" x14ac:dyDescent="0.3">
      <c r="A127" s="6" t="s">
        <v>30</v>
      </c>
      <c r="B127" s="7">
        <v>666</v>
      </c>
    </row>
    <row r="128" spans="1:2" x14ac:dyDescent="0.3">
      <c r="A128" s="6" t="s">
        <v>31</v>
      </c>
      <c r="B128" s="7">
        <v>-19</v>
      </c>
    </row>
    <row r="129" spans="1:2" x14ac:dyDescent="0.3">
      <c r="A129" s="14">
        <v>45565</v>
      </c>
      <c r="B129" s="7">
        <v>3151</v>
      </c>
    </row>
    <row r="130" spans="1:2" x14ac:dyDescent="0.3">
      <c r="A130" s="6" t="s">
        <v>33</v>
      </c>
      <c r="B130" s="7">
        <v>1706</v>
      </c>
    </row>
    <row r="131" spans="1:2" x14ac:dyDescent="0.3">
      <c r="A131" s="6" t="s">
        <v>30</v>
      </c>
      <c r="B131" s="7">
        <v>1025</v>
      </c>
    </row>
    <row r="132" spans="1:2" x14ac:dyDescent="0.3">
      <c r="A132" s="6" t="s">
        <v>32</v>
      </c>
      <c r="B132" s="7">
        <v>599</v>
      </c>
    </row>
    <row r="133" spans="1:2" x14ac:dyDescent="0.3">
      <c r="A133" s="6" t="s">
        <v>31</v>
      </c>
      <c r="B133" s="7">
        <v>-179</v>
      </c>
    </row>
    <row r="134" spans="1:2" x14ac:dyDescent="0.3">
      <c r="A134" s="14">
        <v>45481</v>
      </c>
      <c r="B134" s="7">
        <v>3042</v>
      </c>
    </row>
    <row r="135" spans="1:2" x14ac:dyDescent="0.3">
      <c r="A135" s="6" t="s">
        <v>30</v>
      </c>
      <c r="B135" s="7">
        <v>1672</v>
      </c>
    </row>
    <row r="136" spans="1:2" x14ac:dyDescent="0.3">
      <c r="A136" s="6" t="s">
        <v>32</v>
      </c>
      <c r="B136" s="7">
        <v>547</v>
      </c>
    </row>
    <row r="137" spans="1:2" x14ac:dyDescent="0.3">
      <c r="A137" s="6" t="s">
        <v>33</v>
      </c>
      <c r="B137" s="7">
        <v>514</v>
      </c>
    </row>
    <row r="138" spans="1:2" x14ac:dyDescent="0.3">
      <c r="A138" s="6" t="s">
        <v>31</v>
      </c>
      <c r="B138" s="7">
        <v>309</v>
      </c>
    </row>
    <row r="139" spans="1:2" x14ac:dyDescent="0.3">
      <c r="A139" s="14">
        <v>45467</v>
      </c>
      <c r="B139" s="7">
        <v>3011</v>
      </c>
    </row>
    <row r="140" spans="1:2" x14ac:dyDescent="0.3">
      <c r="A140" s="6" t="s">
        <v>31</v>
      </c>
      <c r="B140" s="7">
        <v>1670</v>
      </c>
    </row>
    <row r="141" spans="1:2" x14ac:dyDescent="0.3">
      <c r="A141" s="6" t="s">
        <v>32</v>
      </c>
      <c r="B141" s="7">
        <v>835</v>
      </c>
    </row>
    <row r="142" spans="1:2" x14ac:dyDescent="0.3">
      <c r="A142" s="6" t="s">
        <v>30</v>
      </c>
      <c r="B142" s="7">
        <v>629</v>
      </c>
    </row>
    <row r="143" spans="1:2" x14ac:dyDescent="0.3">
      <c r="A143" s="6" t="s">
        <v>33</v>
      </c>
      <c r="B143" s="7">
        <v>-123</v>
      </c>
    </row>
    <row r="144" spans="1:2" x14ac:dyDescent="0.3">
      <c r="A144" s="14">
        <v>45523</v>
      </c>
      <c r="B144" s="7">
        <v>2989</v>
      </c>
    </row>
    <row r="145" spans="1:2" x14ac:dyDescent="0.3">
      <c r="A145" s="6" t="s">
        <v>32</v>
      </c>
      <c r="B145" s="7">
        <v>1665</v>
      </c>
    </row>
    <row r="146" spans="1:2" x14ac:dyDescent="0.3">
      <c r="A146" s="6" t="s">
        <v>31</v>
      </c>
      <c r="B146" s="7">
        <v>1058</v>
      </c>
    </row>
    <row r="147" spans="1:2" x14ac:dyDescent="0.3">
      <c r="A147" s="6" t="s">
        <v>33</v>
      </c>
      <c r="B147" s="7">
        <v>190</v>
      </c>
    </row>
    <row r="148" spans="1:2" x14ac:dyDescent="0.3">
      <c r="A148" s="6" t="s">
        <v>30</v>
      </c>
      <c r="B148" s="7">
        <v>76</v>
      </c>
    </row>
    <row r="149" spans="1:2" x14ac:dyDescent="0.3">
      <c r="A149" s="14">
        <v>45453</v>
      </c>
      <c r="B149" s="7">
        <v>2980</v>
      </c>
    </row>
    <row r="150" spans="1:2" x14ac:dyDescent="0.3">
      <c r="A150" s="6" t="s">
        <v>31</v>
      </c>
      <c r="B150" s="7">
        <v>1283</v>
      </c>
    </row>
    <row r="151" spans="1:2" x14ac:dyDescent="0.3">
      <c r="A151" s="6" t="s">
        <v>33</v>
      </c>
      <c r="B151" s="7">
        <v>994</v>
      </c>
    </row>
    <row r="152" spans="1:2" x14ac:dyDescent="0.3">
      <c r="A152" s="6" t="s">
        <v>30</v>
      </c>
      <c r="B152" s="7">
        <v>517</v>
      </c>
    </row>
    <row r="153" spans="1:2" x14ac:dyDescent="0.3">
      <c r="A153" s="6" t="s">
        <v>32</v>
      </c>
      <c r="B153" s="7">
        <v>186</v>
      </c>
    </row>
    <row r="154" spans="1:2" x14ac:dyDescent="0.3">
      <c r="A154" s="14">
        <v>45530</v>
      </c>
      <c r="B154" s="7">
        <v>2903</v>
      </c>
    </row>
    <row r="155" spans="1:2" x14ac:dyDescent="0.3">
      <c r="A155" s="6" t="s">
        <v>30</v>
      </c>
      <c r="B155" s="7">
        <v>1609</v>
      </c>
    </row>
    <row r="156" spans="1:2" x14ac:dyDescent="0.3">
      <c r="A156" s="6" t="s">
        <v>32</v>
      </c>
      <c r="B156" s="7">
        <v>1229</v>
      </c>
    </row>
    <row r="157" spans="1:2" x14ac:dyDescent="0.3">
      <c r="A157" s="6" t="s">
        <v>31</v>
      </c>
      <c r="B157" s="7">
        <v>37</v>
      </c>
    </row>
    <row r="158" spans="1:2" x14ac:dyDescent="0.3">
      <c r="A158" s="6" t="s">
        <v>33</v>
      </c>
      <c r="B158" s="7">
        <v>28</v>
      </c>
    </row>
    <row r="159" spans="1:2" x14ac:dyDescent="0.3">
      <c r="A159" s="14">
        <v>45537</v>
      </c>
      <c r="B159" s="7">
        <v>2822</v>
      </c>
    </row>
    <row r="160" spans="1:2" x14ac:dyDescent="0.3">
      <c r="A160" s="6" t="s">
        <v>30</v>
      </c>
      <c r="B160" s="7">
        <v>1247</v>
      </c>
    </row>
    <row r="161" spans="1:2" x14ac:dyDescent="0.3">
      <c r="A161" s="6" t="s">
        <v>31</v>
      </c>
      <c r="B161" s="7">
        <v>1045</v>
      </c>
    </row>
    <row r="162" spans="1:2" x14ac:dyDescent="0.3">
      <c r="A162" s="6" t="s">
        <v>33</v>
      </c>
      <c r="B162" s="7">
        <v>333</v>
      </c>
    </row>
    <row r="163" spans="1:2" x14ac:dyDescent="0.3">
      <c r="A163" s="6" t="s">
        <v>32</v>
      </c>
      <c r="B163" s="7">
        <v>197</v>
      </c>
    </row>
    <row r="164" spans="1:2" x14ac:dyDescent="0.3">
      <c r="A164" s="14">
        <v>45586</v>
      </c>
      <c r="B164" s="7">
        <v>2821</v>
      </c>
    </row>
    <row r="165" spans="1:2" x14ac:dyDescent="0.3">
      <c r="A165" s="6" t="s">
        <v>33</v>
      </c>
      <c r="B165" s="7">
        <v>1484</v>
      </c>
    </row>
    <row r="166" spans="1:2" x14ac:dyDescent="0.3">
      <c r="A166" s="6" t="s">
        <v>32</v>
      </c>
      <c r="B166" s="7">
        <v>636</v>
      </c>
    </row>
    <row r="167" spans="1:2" x14ac:dyDescent="0.3">
      <c r="A167" s="6" t="s">
        <v>31</v>
      </c>
      <c r="B167" s="7">
        <v>439</v>
      </c>
    </row>
    <row r="168" spans="1:2" x14ac:dyDescent="0.3">
      <c r="A168" s="6" t="s">
        <v>30</v>
      </c>
      <c r="B168" s="7">
        <v>262</v>
      </c>
    </row>
    <row r="169" spans="1:2" x14ac:dyDescent="0.3">
      <c r="A169" s="14">
        <v>45670</v>
      </c>
      <c r="B169" s="7">
        <v>2777</v>
      </c>
    </row>
    <row r="170" spans="1:2" x14ac:dyDescent="0.3">
      <c r="A170" s="6" t="s">
        <v>30</v>
      </c>
      <c r="B170" s="7">
        <v>1722</v>
      </c>
    </row>
    <row r="171" spans="1:2" x14ac:dyDescent="0.3">
      <c r="A171" s="6" t="s">
        <v>33</v>
      </c>
      <c r="B171" s="7">
        <v>901</v>
      </c>
    </row>
    <row r="172" spans="1:2" x14ac:dyDescent="0.3">
      <c r="A172" s="6" t="s">
        <v>31</v>
      </c>
      <c r="B172" s="7">
        <v>298</v>
      </c>
    </row>
    <row r="173" spans="1:2" x14ac:dyDescent="0.3">
      <c r="A173" s="6" t="s">
        <v>32</v>
      </c>
      <c r="B173" s="7">
        <v>-144</v>
      </c>
    </row>
    <row r="174" spans="1:2" x14ac:dyDescent="0.3">
      <c r="A174" s="14">
        <v>45495</v>
      </c>
      <c r="B174" s="7">
        <v>2753</v>
      </c>
    </row>
    <row r="175" spans="1:2" x14ac:dyDescent="0.3">
      <c r="A175" s="6" t="s">
        <v>32</v>
      </c>
      <c r="B175" s="7">
        <v>1316</v>
      </c>
    </row>
    <row r="176" spans="1:2" x14ac:dyDescent="0.3">
      <c r="A176" s="6" t="s">
        <v>31</v>
      </c>
      <c r="B176" s="7">
        <v>961</v>
      </c>
    </row>
    <row r="177" spans="1:2" x14ac:dyDescent="0.3">
      <c r="A177" s="6" t="s">
        <v>33</v>
      </c>
      <c r="B177" s="7">
        <v>317</v>
      </c>
    </row>
    <row r="178" spans="1:2" x14ac:dyDescent="0.3">
      <c r="A178" s="6" t="s">
        <v>30</v>
      </c>
      <c r="B178" s="7">
        <v>159</v>
      </c>
    </row>
    <row r="179" spans="1:2" x14ac:dyDescent="0.3">
      <c r="A179" s="14">
        <v>45593</v>
      </c>
      <c r="B179" s="7">
        <v>2656</v>
      </c>
    </row>
    <row r="180" spans="1:2" x14ac:dyDescent="0.3">
      <c r="A180" s="6" t="s">
        <v>33</v>
      </c>
      <c r="B180" s="7">
        <v>1657</v>
      </c>
    </row>
    <row r="181" spans="1:2" x14ac:dyDescent="0.3">
      <c r="A181" s="6" t="s">
        <v>30</v>
      </c>
      <c r="B181" s="7">
        <v>576</v>
      </c>
    </row>
    <row r="182" spans="1:2" x14ac:dyDescent="0.3">
      <c r="A182" s="6" t="s">
        <v>31</v>
      </c>
      <c r="B182" s="7">
        <v>386</v>
      </c>
    </row>
    <row r="183" spans="1:2" x14ac:dyDescent="0.3">
      <c r="A183" s="6" t="s">
        <v>32</v>
      </c>
      <c r="B183" s="7">
        <v>37</v>
      </c>
    </row>
    <row r="184" spans="1:2" x14ac:dyDescent="0.3">
      <c r="A184" s="14">
        <v>45754</v>
      </c>
      <c r="B184" s="7">
        <v>2412</v>
      </c>
    </row>
    <row r="185" spans="1:2" x14ac:dyDescent="0.3">
      <c r="A185" s="6" t="s">
        <v>31</v>
      </c>
      <c r="B185" s="7">
        <v>1029</v>
      </c>
    </row>
    <row r="186" spans="1:2" x14ac:dyDescent="0.3">
      <c r="A186" s="6" t="s">
        <v>32</v>
      </c>
      <c r="B186" s="7">
        <v>1007</v>
      </c>
    </row>
    <row r="187" spans="1:2" x14ac:dyDescent="0.3">
      <c r="A187" s="6" t="s">
        <v>33</v>
      </c>
      <c r="B187" s="7">
        <v>209</v>
      </c>
    </row>
    <row r="188" spans="1:2" x14ac:dyDescent="0.3">
      <c r="A188" s="6" t="s">
        <v>30</v>
      </c>
      <c r="B188" s="7">
        <v>167</v>
      </c>
    </row>
    <row r="189" spans="1:2" x14ac:dyDescent="0.3">
      <c r="A189" s="14">
        <v>45719</v>
      </c>
      <c r="B189" s="7">
        <v>2410</v>
      </c>
    </row>
    <row r="190" spans="1:2" x14ac:dyDescent="0.3">
      <c r="A190" s="6" t="s">
        <v>30</v>
      </c>
      <c r="B190" s="7">
        <v>1315</v>
      </c>
    </row>
    <row r="191" spans="1:2" x14ac:dyDescent="0.3">
      <c r="A191" s="6" t="s">
        <v>32</v>
      </c>
      <c r="B191" s="7">
        <v>899</v>
      </c>
    </row>
    <row r="192" spans="1:2" x14ac:dyDescent="0.3">
      <c r="A192" s="6" t="s">
        <v>33</v>
      </c>
      <c r="B192" s="7">
        <v>315</v>
      </c>
    </row>
    <row r="193" spans="1:2" x14ac:dyDescent="0.3">
      <c r="A193" s="6" t="s">
        <v>31</v>
      </c>
      <c r="B193" s="7">
        <v>-119</v>
      </c>
    </row>
    <row r="194" spans="1:2" x14ac:dyDescent="0.3">
      <c r="A194" s="14">
        <v>45607</v>
      </c>
      <c r="B194" s="7">
        <v>2295</v>
      </c>
    </row>
    <row r="195" spans="1:2" x14ac:dyDescent="0.3">
      <c r="A195" s="6" t="s">
        <v>32</v>
      </c>
      <c r="B195" s="7">
        <v>1150</v>
      </c>
    </row>
    <row r="196" spans="1:2" x14ac:dyDescent="0.3">
      <c r="A196" s="6" t="s">
        <v>30</v>
      </c>
      <c r="B196" s="7">
        <v>902</v>
      </c>
    </row>
    <row r="197" spans="1:2" x14ac:dyDescent="0.3">
      <c r="A197" s="6" t="s">
        <v>33</v>
      </c>
      <c r="B197" s="7">
        <v>349</v>
      </c>
    </row>
    <row r="198" spans="1:2" x14ac:dyDescent="0.3">
      <c r="A198" s="6" t="s">
        <v>31</v>
      </c>
      <c r="B198" s="7">
        <v>-106</v>
      </c>
    </row>
    <row r="199" spans="1:2" x14ac:dyDescent="0.3">
      <c r="A199" s="14">
        <v>45488</v>
      </c>
      <c r="B199" s="7">
        <v>2270</v>
      </c>
    </row>
    <row r="200" spans="1:2" x14ac:dyDescent="0.3">
      <c r="A200" s="6" t="s">
        <v>30</v>
      </c>
      <c r="B200" s="7">
        <v>1845</v>
      </c>
    </row>
    <row r="201" spans="1:2" x14ac:dyDescent="0.3">
      <c r="A201" s="6" t="s">
        <v>32</v>
      </c>
      <c r="B201" s="7">
        <v>429</v>
      </c>
    </row>
    <row r="202" spans="1:2" x14ac:dyDescent="0.3">
      <c r="A202" s="6" t="s">
        <v>33</v>
      </c>
      <c r="B202" s="7">
        <v>160</v>
      </c>
    </row>
    <row r="203" spans="1:2" x14ac:dyDescent="0.3">
      <c r="A203" s="6" t="s">
        <v>31</v>
      </c>
      <c r="B203" s="7">
        <v>-164</v>
      </c>
    </row>
    <row r="204" spans="1:2" x14ac:dyDescent="0.3">
      <c r="A204" s="14">
        <v>45691</v>
      </c>
      <c r="B204" s="7">
        <v>2194</v>
      </c>
    </row>
    <row r="205" spans="1:2" x14ac:dyDescent="0.3">
      <c r="A205" s="6" t="s">
        <v>30</v>
      </c>
      <c r="B205" s="7">
        <v>1080</v>
      </c>
    </row>
    <row r="206" spans="1:2" x14ac:dyDescent="0.3">
      <c r="A206" s="6" t="s">
        <v>31</v>
      </c>
      <c r="B206" s="7">
        <v>748</v>
      </c>
    </row>
    <row r="207" spans="1:2" x14ac:dyDescent="0.3">
      <c r="A207" s="6" t="s">
        <v>32</v>
      </c>
      <c r="B207" s="7">
        <v>569</v>
      </c>
    </row>
    <row r="208" spans="1:2" x14ac:dyDescent="0.3">
      <c r="A208" s="6" t="s">
        <v>33</v>
      </c>
      <c r="B208" s="7">
        <v>-203</v>
      </c>
    </row>
    <row r="209" spans="1:2" x14ac:dyDescent="0.3">
      <c r="A209" s="14">
        <v>45502</v>
      </c>
      <c r="B209" s="7">
        <v>2193</v>
      </c>
    </row>
    <row r="210" spans="1:2" x14ac:dyDescent="0.3">
      <c r="A210" s="6" t="s">
        <v>32</v>
      </c>
      <c r="B210" s="7">
        <v>1495</v>
      </c>
    </row>
    <row r="211" spans="1:2" x14ac:dyDescent="0.3">
      <c r="A211" s="6" t="s">
        <v>30</v>
      </c>
      <c r="B211" s="7">
        <v>541</v>
      </c>
    </row>
    <row r="212" spans="1:2" x14ac:dyDescent="0.3">
      <c r="A212" s="6" t="s">
        <v>33</v>
      </c>
      <c r="B212" s="7">
        <v>475</v>
      </c>
    </row>
    <row r="213" spans="1:2" x14ac:dyDescent="0.3">
      <c r="A213" s="6" t="s">
        <v>31</v>
      </c>
      <c r="B213" s="7">
        <v>-318</v>
      </c>
    </row>
    <row r="214" spans="1:2" x14ac:dyDescent="0.3">
      <c r="A214" s="14">
        <v>45789</v>
      </c>
      <c r="B214" s="7">
        <v>1995</v>
      </c>
    </row>
    <row r="215" spans="1:2" x14ac:dyDescent="0.3">
      <c r="A215" s="6" t="s">
        <v>30</v>
      </c>
      <c r="B215" s="7">
        <v>1656</v>
      </c>
    </row>
    <row r="216" spans="1:2" x14ac:dyDescent="0.3">
      <c r="A216" s="6" t="s">
        <v>31</v>
      </c>
      <c r="B216" s="7">
        <v>407</v>
      </c>
    </row>
    <row r="217" spans="1:2" x14ac:dyDescent="0.3">
      <c r="A217" s="6" t="s">
        <v>32</v>
      </c>
      <c r="B217" s="7">
        <v>269</v>
      </c>
    </row>
    <row r="218" spans="1:2" x14ac:dyDescent="0.3">
      <c r="A218" s="6" t="s">
        <v>33</v>
      </c>
      <c r="B218" s="7">
        <v>-337</v>
      </c>
    </row>
    <row r="219" spans="1:2" x14ac:dyDescent="0.3">
      <c r="A219" s="14">
        <v>45579</v>
      </c>
      <c r="B219" s="7">
        <v>1856</v>
      </c>
    </row>
    <row r="220" spans="1:2" x14ac:dyDescent="0.3">
      <c r="A220" s="6" t="s">
        <v>30</v>
      </c>
      <c r="B220" s="7">
        <v>1224</v>
      </c>
    </row>
    <row r="221" spans="1:2" x14ac:dyDescent="0.3">
      <c r="A221" s="6" t="s">
        <v>33</v>
      </c>
      <c r="B221" s="7">
        <v>367</v>
      </c>
    </row>
    <row r="222" spans="1:2" x14ac:dyDescent="0.3">
      <c r="A222" s="6" t="s">
        <v>31</v>
      </c>
      <c r="B222" s="7">
        <v>285</v>
      </c>
    </row>
    <row r="223" spans="1:2" x14ac:dyDescent="0.3">
      <c r="A223" s="6" t="s">
        <v>32</v>
      </c>
      <c r="B223" s="7">
        <v>-20</v>
      </c>
    </row>
    <row r="224" spans="1:2" x14ac:dyDescent="0.3">
      <c r="A224" s="14">
        <v>45740</v>
      </c>
      <c r="B224" s="7">
        <v>1616</v>
      </c>
    </row>
    <row r="225" spans="1:2" x14ac:dyDescent="0.3">
      <c r="A225" s="6" t="s">
        <v>31</v>
      </c>
      <c r="B225" s="7">
        <v>474</v>
      </c>
    </row>
    <row r="226" spans="1:2" x14ac:dyDescent="0.3">
      <c r="A226" s="6" t="s">
        <v>30</v>
      </c>
      <c r="B226" s="7">
        <v>461</v>
      </c>
    </row>
    <row r="227" spans="1:2" x14ac:dyDescent="0.3">
      <c r="A227" s="6" t="s">
        <v>33</v>
      </c>
      <c r="B227" s="7">
        <v>389</v>
      </c>
    </row>
    <row r="228" spans="1:2" x14ac:dyDescent="0.3">
      <c r="A228" s="6" t="s">
        <v>32</v>
      </c>
      <c r="B228" s="7">
        <v>292</v>
      </c>
    </row>
    <row r="229" spans="1:2" x14ac:dyDescent="0.3">
      <c r="A229" s="14">
        <v>45551</v>
      </c>
      <c r="B229" s="7">
        <v>1568</v>
      </c>
    </row>
    <row r="230" spans="1:2" x14ac:dyDescent="0.3">
      <c r="A230" s="6" t="s">
        <v>32</v>
      </c>
      <c r="B230" s="7">
        <v>1125</v>
      </c>
    </row>
    <row r="231" spans="1:2" x14ac:dyDescent="0.3">
      <c r="A231" s="6" t="s">
        <v>30</v>
      </c>
      <c r="B231" s="7">
        <v>377</v>
      </c>
    </row>
    <row r="232" spans="1:2" x14ac:dyDescent="0.3">
      <c r="A232" s="6" t="s">
        <v>31</v>
      </c>
      <c r="B232" s="7">
        <v>98</v>
      </c>
    </row>
    <row r="233" spans="1:2" x14ac:dyDescent="0.3">
      <c r="A233" s="6" t="s">
        <v>33</v>
      </c>
      <c r="B233" s="7">
        <v>-32</v>
      </c>
    </row>
    <row r="234" spans="1:2" x14ac:dyDescent="0.3">
      <c r="A234" s="14">
        <v>45474</v>
      </c>
      <c r="B234" s="7">
        <v>1293</v>
      </c>
    </row>
    <row r="235" spans="1:2" x14ac:dyDescent="0.3">
      <c r="A235" s="6" t="s">
        <v>32</v>
      </c>
      <c r="B235" s="7">
        <v>1357</v>
      </c>
    </row>
    <row r="236" spans="1:2" x14ac:dyDescent="0.3">
      <c r="A236" s="6" t="s">
        <v>33</v>
      </c>
      <c r="B236" s="7">
        <v>91</v>
      </c>
    </row>
    <row r="237" spans="1:2" x14ac:dyDescent="0.3">
      <c r="A237" s="6" t="s">
        <v>31</v>
      </c>
      <c r="B237" s="7">
        <v>64</v>
      </c>
    </row>
    <row r="238" spans="1:2" x14ac:dyDescent="0.3">
      <c r="A238" s="6" t="s">
        <v>30</v>
      </c>
      <c r="B238" s="7">
        <v>-219</v>
      </c>
    </row>
    <row r="239" spans="1:2" x14ac:dyDescent="0.3">
      <c r="A239" s="14">
        <v>45509</v>
      </c>
      <c r="B239" s="7">
        <v>802</v>
      </c>
    </row>
    <row r="240" spans="1:2" x14ac:dyDescent="0.3">
      <c r="A240" s="6" t="s">
        <v>30</v>
      </c>
      <c r="B240" s="7">
        <v>352</v>
      </c>
    </row>
    <row r="241" spans="1:2" x14ac:dyDescent="0.3">
      <c r="A241" s="6" t="s">
        <v>32</v>
      </c>
      <c r="B241" s="7">
        <v>328</v>
      </c>
    </row>
    <row r="242" spans="1:2" x14ac:dyDescent="0.3">
      <c r="A242" s="6" t="s">
        <v>33</v>
      </c>
      <c r="B242" s="7">
        <v>319</v>
      </c>
    </row>
    <row r="243" spans="1:2" x14ac:dyDescent="0.3">
      <c r="A243" s="6" t="s">
        <v>31</v>
      </c>
      <c r="B243" s="7">
        <v>-197</v>
      </c>
    </row>
    <row r="244" spans="1:2" x14ac:dyDescent="0.3">
      <c r="A244" s="14">
        <v>45614</v>
      </c>
      <c r="B244" s="7">
        <v>528</v>
      </c>
    </row>
    <row r="245" spans="1:2" x14ac:dyDescent="0.3">
      <c r="A245" s="6" t="s">
        <v>32</v>
      </c>
      <c r="B245" s="7">
        <v>445</v>
      </c>
    </row>
    <row r="246" spans="1:2" x14ac:dyDescent="0.3">
      <c r="A246" s="6" t="s">
        <v>31</v>
      </c>
      <c r="B246" s="7">
        <v>72</v>
      </c>
    </row>
    <row r="247" spans="1:2" x14ac:dyDescent="0.3">
      <c r="A247" s="6" t="s">
        <v>33</v>
      </c>
      <c r="B247" s="7">
        <v>60</v>
      </c>
    </row>
    <row r="248" spans="1:2" x14ac:dyDescent="0.3">
      <c r="A248" s="6" t="s">
        <v>30</v>
      </c>
      <c r="B248" s="7">
        <v>-49</v>
      </c>
    </row>
    <row r="249" spans="1:2" x14ac:dyDescent="0.3">
      <c r="A249" s="14">
        <v>45761</v>
      </c>
      <c r="B249" s="7">
        <v>-137</v>
      </c>
    </row>
    <row r="250" spans="1:2" x14ac:dyDescent="0.3">
      <c r="A250" s="6" t="s">
        <v>33</v>
      </c>
      <c r="B250" s="7">
        <v>145</v>
      </c>
    </row>
    <row r="251" spans="1:2" x14ac:dyDescent="0.3">
      <c r="A251" s="6" t="s">
        <v>32</v>
      </c>
      <c r="B251" s="7">
        <v>53</v>
      </c>
    </row>
    <row r="252" spans="1:2" x14ac:dyDescent="0.3">
      <c r="A252" s="6" t="s">
        <v>30</v>
      </c>
      <c r="B252" s="7">
        <v>-160</v>
      </c>
    </row>
    <row r="253" spans="1:2" x14ac:dyDescent="0.3">
      <c r="A253" s="6" t="s">
        <v>31</v>
      </c>
      <c r="B253" s="7">
        <v>-175</v>
      </c>
    </row>
  </sheetData>
  <mergeCells count="2">
    <mergeCell ref="D17:G20"/>
    <mergeCell ref="I48:K49"/>
  </mergeCell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53D8730-2AF6-4E35-8724-0DF93A8309D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Posts</vt:lpstr>
      <vt:lpstr>Engagement Summary</vt:lpstr>
      <vt:lpstr>Campaign Metadata</vt:lpstr>
      <vt:lpstr>Task1</vt:lpstr>
      <vt:lpstr>Task2</vt:lpstr>
      <vt:lpstr>Task3</vt:lpstr>
      <vt:lpstr>Task4</vt:lpstr>
      <vt:lpstr>Task 5</vt:lpstr>
      <vt:lpstr>Task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Zothankima Hmar</dc:creator>
  <cp:lastModifiedBy>Zothankima Hmar</cp:lastModifiedBy>
  <dcterms:created xsi:type="dcterms:W3CDTF">2026-03-18T12:23:37Z</dcterms:created>
  <dcterms:modified xsi:type="dcterms:W3CDTF">2026-03-23T07:32:00Z</dcterms:modified>
</cp:coreProperties>
</file>